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/>
  <mc:AlternateContent xmlns:mc="http://schemas.openxmlformats.org/markup-compatibility/2006">
    <mc:Choice Requires="x15">
      <x15ac:absPath xmlns:x15ac="http://schemas.microsoft.com/office/spreadsheetml/2010/11/ac" url="C:\Users\Nabeel\Downloads\GitHub Projects\Data Analysis\healthcare-claims-analysis\"/>
    </mc:Choice>
  </mc:AlternateContent>
  <xr:revisionPtr revIDLastSave="0" documentId="13_ncr:1_{CB407689-9809-4D46-9365-9A5528A8978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ummary" sheetId="4" r:id="rId1"/>
    <sheet name="Analysis" sheetId="3" r:id="rId2"/>
    <sheet name="Data" sheetId="1" r:id="rId3"/>
  </sheets>
  <calcPr calcId="191029"/>
  <pivotCaches>
    <pivotCache cacheId="14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<sst xmlns="http://schemas.openxmlformats.org/spreadsheetml/2006/main" count="147" uniqueCount="81">
  <si>
    <t>Claim ID</t>
  </si>
  <si>
    <t>Patient ID</t>
  </si>
  <si>
    <t>Age</t>
  </si>
  <si>
    <t>Gender</t>
  </si>
  <si>
    <t>Provider ID</t>
  </si>
  <si>
    <t>Specialty</t>
  </si>
  <si>
    <t>Diagnosis Code</t>
  </si>
  <si>
    <t>Claim Amount</t>
  </si>
  <si>
    <t>Date of Service</t>
  </si>
  <si>
    <t>C1001</t>
  </si>
  <si>
    <t>P001</t>
  </si>
  <si>
    <t>Female</t>
  </si>
  <si>
    <t>PRV001</t>
  </si>
  <si>
    <t>Cardiology</t>
  </si>
  <si>
    <t>I10</t>
  </si>
  <si>
    <t>C1002</t>
  </si>
  <si>
    <t>P002</t>
  </si>
  <si>
    <t>Male</t>
  </si>
  <si>
    <t>PRV002</t>
  </si>
  <si>
    <t>Dermatology</t>
  </si>
  <si>
    <t>L40</t>
  </si>
  <si>
    <t>C1003</t>
  </si>
  <si>
    <t>P003</t>
  </si>
  <si>
    <t>PRV003</t>
  </si>
  <si>
    <t>Pediatrics</t>
  </si>
  <si>
    <t>J06</t>
  </si>
  <si>
    <t>C1004</t>
  </si>
  <si>
    <t>P004</t>
  </si>
  <si>
    <t>I25</t>
  </si>
  <si>
    <t>C1005</t>
  </si>
  <si>
    <t>P005</t>
  </si>
  <si>
    <t>PRV004</t>
  </si>
  <si>
    <t>Orthopedics</t>
  </si>
  <si>
    <t>M54</t>
  </si>
  <si>
    <t>C1006</t>
  </si>
  <si>
    <t>P006</t>
  </si>
  <si>
    <t>L20</t>
  </si>
  <si>
    <t>C1007</t>
  </si>
  <si>
    <t>P007</t>
  </si>
  <si>
    <t>PRV005</t>
  </si>
  <si>
    <t>Neurology</t>
  </si>
  <si>
    <t>G43</t>
  </si>
  <si>
    <t>C1008</t>
  </si>
  <si>
    <t>P008</t>
  </si>
  <si>
    <t>J18</t>
  </si>
  <si>
    <t>C1009</t>
  </si>
  <si>
    <t>P009</t>
  </si>
  <si>
    <t>M51</t>
  </si>
  <si>
    <t>C1010</t>
  </si>
  <si>
    <t>P010</t>
  </si>
  <si>
    <t>C1011</t>
  </si>
  <si>
    <t>P011</t>
  </si>
  <si>
    <t>G44</t>
  </si>
  <si>
    <t>C1012</t>
  </si>
  <si>
    <t>P012</t>
  </si>
  <si>
    <t>C1013</t>
  </si>
  <si>
    <t>P013</t>
  </si>
  <si>
    <t>C1014</t>
  </si>
  <si>
    <t>P014</t>
  </si>
  <si>
    <t>C1015</t>
  </si>
  <si>
    <t>P015</t>
  </si>
  <si>
    <t>Grand Total</t>
  </si>
  <si>
    <t>Total Claims by Provider</t>
  </si>
  <si>
    <t>Count of Claim ID</t>
  </si>
  <si>
    <t>Claim Amount by Diagnosis</t>
  </si>
  <si>
    <t>Sum of Claim Amount</t>
  </si>
  <si>
    <t>Dx Code</t>
  </si>
  <si>
    <t>This report summarizes healthcare claims by provider, specialty, patient age, and diagnosis. Key insights highlight trends, high-value claims, and areas for operational focus.</t>
  </si>
  <si>
    <r>
      <t xml:space="preserve">Monitor </t>
    </r>
    <r>
      <rPr>
        <b/>
        <sz val="11"/>
        <color rgb="FF000000"/>
        <rFont val="Arial"/>
        <family val="2"/>
      </rPr>
      <t>high-value claims</t>
    </r>
    <r>
      <rPr>
        <sz val="11"/>
        <color rgb="FF000000"/>
        <rFont val="Arial"/>
        <family val="2"/>
      </rPr>
      <t xml:space="preserve"> for Cardiology and Neurology.</t>
    </r>
  </si>
  <si>
    <t>Review frequent small claims in Dermatology for efficiency improvements.</t>
  </si>
  <si>
    <t>Consider preventive care programs for age groups with high claims.</t>
  </si>
  <si>
    <t>Claim Amount by Specialty</t>
  </si>
  <si>
    <r>
      <t>PRV001 has the highest volume</t>
    </r>
    <r>
      <rPr>
        <sz val="11"/>
        <color theme="1"/>
        <rFont val="Calibri"/>
        <family val="2"/>
        <scheme val="minor"/>
      </rPr>
      <t>; others are close behind.</t>
    </r>
  </si>
  <si>
    <r>
      <t>PRV005 is lowest</t>
    </r>
    <r>
      <rPr>
        <sz val="11"/>
        <color theme="1"/>
        <rFont val="Calibri"/>
        <family val="2"/>
        <scheme val="minor"/>
      </rPr>
      <t>, but overall distribution is fairly even.</t>
    </r>
  </si>
  <si>
    <r>
      <t>I25 is the top cost driver</t>
    </r>
    <r>
      <rPr>
        <sz val="11"/>
        <color theme="1"/>
        <rFont val="Calibri"/>
        <family val="2"/>
        <scheme val="minor"/>
      </rPr>
      <t>, followed by I10 and M54.</t>
    </r>
  </si>
  <si>
    <r>
      <t>Costs are concentrated in a few diagnoses</t>
    </r>
    <r>
      <rPr>
        <sz val="11"/>
        <color theme="1"/>
        <rFont val="Calibri"/>
        <family val="2"/>
        <scheme val="minor"/>
      </rPr>
      <t>.</t>
    </r>
  </si>
  <si>
    <r>
      <t>Cardiology dominates costs</t>
    </r>
    <r>
      <rPr>
        <sz val="11"/>
        <color theme="1"/>
        <rFont val="Calibri"/>
        <family val="2"/>
        <scheme val="minor"/>
      </rPr>
      <t xml:space="preserve"> by a large margin.</t>
    </r>
  </si>
  <si>
    <r>
      <t xml:space="preserve">Other specialties contribute significantly less, with </t>
    </r>
    <r>
      <rPr>
        <b/>
        <sz val="11"/>
        <color theme="1"/>
        <rFont val="Calibri"/>
        <family val="2"/>
        <scheme val="minor"/>
      </rPr>
      <t>Pediatrics lowest</t>
    </r>
    <r>
      <rPr>
        <sz val="11"/>
        <color theme="1"/>
        <rFont val="Calibri"/>
        <family val="2"/>
        <scheme val="minor"/>
      </rPr>
      <t>.</t>
    </r>
  </si>
  <si>
    <t>Action Items:</t>
  </si>
  <si>
    <t>Key Findings:</t>
  </si>
  <si>
    <t>Overview: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</si>
</sst>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b/>
      <sz val="14"/>
      <color theme="8" tint="-0.249977111117893"/>
      <name val="Arial"/>
      <family val="2"/>
    </font>
    <font>
      <b/>
      <sz val="13.5"/>
      <color rgb="FFC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14" fontId="3" fillId="0" borderId="0" xfId="0" applyNumberFormat="1" applyFont="1" applyAlignment="1">
      <alignment vertical="center" wrapText="1"/>
    </xf>
    <xf numFmtId="0" fontId="1" fillId="2" borderId="0" xfId="0" applyFont="1" applyFill="1" applyAlignment="1">
      <alignment horizontal="center"/>
    </xf>
    <xf numFmtId="0" fontId="0" fillId="0" borderId="0" xfId="0" applyAlignment="1">
      <alignment horizontal="left"/>
    </xf>
    <xf numFmtId="0" fontId="0" fillId="0" borderId="0" xfId="0" pivotButton="1"/>
    <xf numFmtId="0" fontId="0" fillId="0" borderId="0" xfId="0" applyNumberFormat="1"/>
    <xf numFmtId="0" fontId="1" fillId="0" borderId="0" xfId="0" applyFont="1" applyFill="1" applyAlignment="1"/>
    <xf numFmtId="0" fontId="0" fillId="0" borderId="0" xfId="0" applyAlignment="1">
      <alignment horizontal="left" vertical="center" indent="1"/>
    </xf>
    <xf numFmtId="0" fontId="2" fillId="0" borderId="0" xfId="0" applyFont="1" applyAlignment="1">
      <alignment horizontal="left" vertical="center" indent="1"/>
    </xf>
    <xf numFmtId="0" fontId="3" fillId="0" borderId="0" xfId="0" applyFont="1" applyAlignment="1">
      <alignment horizontal="left" vertical="center" indent="1"/>
    </xf>
    <xf numFmtId="0" fontId="3" fillId="0" borderId="0" xfId="0" applyFont="1" applyAlignment="1">
      <alignment horizontal="left" vertical="center" indent="2"/>
    </xf>
    <xf numFmtId="0" fontId="1" fillId="0" borderId="0" xfId="0" applyFont="1" applyAlignment="1">
      <alignment horizontal="left" vertical="center" indent="1"/>
    </xf>
    <xf numFmtId="0" fontId="4" fillId="0" borderId="0" xfId="0" applyFont="1" applyAlignment="1">
      <alignment horizontal="left" vertical="center" indent="1"/>
    </xf>
    <xf numFmtId="0" fontId="5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9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[claims_analysis.xlsx]Analysis!PivotTable1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Analysis!$B$2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Analysis!$A$3:$A$8</c:f>
              <c:strCache>
                <c:ptCount val="5"/>
                <c:pt idx="0">
                  <c:v>PRV001</c:v>
                </c:pt>
                <c:pt idx="1">
                  <c:v>PRV002</c:v>
                </c:pt>
                <c:pt idx="2">
                  <c:v>PRV003</c:v>
                </c:pt>
                <c:pt idx="3">
                  <c:v>PRV004</c:v>
                </c:pt>
                <c:pt idx="4">
                  <c:v>PRV005</c:v>
                </c:pt>
              </c:strCache>
            </c:strRef>
          </c:cat>
          <c:val>
            <c:numRef>
              <c:f>Analysis!$B$3:$B$8</c:f>
              <c:numCache>
                <c:formatCode>General</c:formatCode>
                <c:ptCount val="5"/>
                <c:pt idx="0">
                  <c:v>4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BB-4674-854A-16DC7DDCB9F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459715264"/>
        <c:axId val="1459714304"/>
      </c:barChart>
      <c:catAx>
        <c:axId val="1459715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9714304"/>
        <c:crosses val="autoZero"/>
        <c:auto val="1"/>
        <c:lblAlgn val="ctr"/>
        <c:lblOffset val="100"/>
        <c:noMultiLvlLbl val="0"/>
      </c:catAx>
      <c:valAx>
        <c:axId val="14597143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9715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Claims</a:t>
            </a:r>
            <a:r>
              <a:rPr lang="en-US" baseline="0"/>
              <a:t> by Specialty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9900F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5"/>
              <c:pt idx="0">
                <c:v>Cardiology</c:v>
              </c:pt>
              <c:pt idx="1">
                <c:v>Dermatology</c:v>
              </c:pt>
              <c:pt idx="2">
                <c:v>Neurology</c:v>
              </c:pt>
              <c:pt idx="3">
                <c:v>Orthopedics</c:v>
              </c:pt>
              <c:pt idx="4">
                <c:v>Pediatrics</c:v>
              </c:pt>
            </c:strLit>
          </c:cat>
          <c:val>
            <c:numLit>
              <c:formatCode>General</c:formatCode>
              <c:ptCount val="5"/>
              <c:pt idx="0">
                <c:v>1500</c:v>
              </c:pt>
              <c:pt idx="1">
                <c:v>505</c:v>
              </c:pt>
              <c:pt idx="2">
                <c:v>750</c:v>
              </c:pt>
              <c:pt idx="3">
                <c:v>630</c:v>
              </c:pt>
              <c:pt idx="4">
                <c:v>275</c:v>
              </c:pt>
            </c:numLit>
          </c:val>
          <c:extLst>
            <c:ext xmlns:c16="http://schemas.microsoft.com/office/drawing/2014/chart" uri="{C3380CC4-5D6E-409C-BE32-E72D297353CC}">
              <c16:uniqueId val="{00000002-4C3F-4A03-B88C-90EA38671E6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256633392"/>
        <c:axId val="1256637712"/>
      </c:barChart>
      <c:catAx>
        <c:axId val="1256633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6637712"/>
        <c:crosses val="autoZero"/>
        <c:auto val="1"/>
        <c:lblAlgn val="ctr"/>
        <c:lblOffset val="100"/>
        <c:noMultiLvlLbl val="0"/>
      </c:catAx>
      <c:valAx>
        <c:axId val="12566377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6633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[claims_analysis.xlsx]Analysis!PivotTable3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Claim Amount by Diagnosis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Analysis!$B$20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Analysis!$A$21:$A$31</c:f>
              <c:strCache>
                <c:ptCount val="10"/>
                <c:pt idx="0">
                  <c:v>G43</c:v>
                </c:pt>
                <c:pt idx="1">
                  <c:v>G44</c:v>
                </c:pt>
                <c:pt idx="2">
                  <c:v>I10</c:v>
                </c:pt>
                <c:pt idx="3">
                  <c:v>I25</c:v>
                </c:pt>
                <c:pt idx="4">
                  <c:v>J06</c:v>
                </c:pt>
                <c:pt idx="5">
                  <c:v>J18</c:v>
                </c:pt>
                <c:pt idx="6">
                  <c:v>L20</c:v>
                </c:pt>
                <c:pt idx="7">
                  <c:v>L40</c:v>
                </c:pt>
                <c:pt idx="8">
                  <c:v>M51</c:v>
                </c:pt>
                <c:pt idx="9">
                  <c:v>M54</c:v>
                </c:pt>
              </c:strCache>
            </c:strRef>
          </c:cat>
          <c:val>
            <c:numRef>
              <c:f>Analysis!$B$21:$B$31</c:f>
              <c:numCache>
                <c:formatCode>General</c:formatCode>
                <c:ptCount val="10"/>
                <c:pt idx="0">
                  <c:v>400</c:v>
                </c:pt>
                <c:pt idx="1">
                  <c:v>350</c:v>
                </c:pt>
                <c:pt idx="2">
                  <c:v>550</c:v>
                </c:pt>
                <c:pt idx="3">
                  <c:v>950</c:v>
                </c:pt>
                <c:pt idx="4">
                  <c:v>155</c:v>
                </c:pt>
                <c:pt idx="5">
                  <c:v>120</c:v>
                </c:pt>
                <c:pt idx="6">
                  <c:v>150</c:v>
                </c:pt>
                <c:pt idx="7">
                  <c:v>355</c:v>
                </c:pt>
                <c:pt idx="8">
                  <c:v>220</c:v>
                </c:pt>
                <c:pt idx="9">
                  <c:v>410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DD9-4559-BCDE-8F469510243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58600831"/>
        <c:axId val="558595071"/>
      </c:barChart>
      <c:catAx>
        <c:axId val="5586008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8595071"/>
        <c:crosses val="autoZero"/>
        <c:auto val="1"/>
        <c:lblAlgn val="ctr"/>
        <c:lblOffset val="100"/>
        <c:noMultiLvlLbl val="0"/>
      </c:catAx>
      <c:valAx>
        <c:axId val="5585950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86008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[claims_analysis.xlsx]Analysis!PivotTable4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Claim Amount by Specialty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266569717062879"/>
          <c:y val="0.17694938132733409"/>
          <c:w val="0.78948965829032136"/>
          <c:h val="0.4189351331083614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Analysis!$B$39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Analysis!$A$40:$A$45</c:f>
              <c:strCache>
                <c:ptCount val="5"/>
                <c:pt idx="0">
                  <c:v>Cardiology</c:v>
                </c:pt>
                <c:pt idx="1">
                  <c:v>Dermatology</c:v>
                </c:pt>
                <c:pt idx="2">
                  <c:v>Neurology</c:v>
                </c:pt>
                <c:pt idx="3">
                  <c:v>Orthopedics</c:v>
                </c:pt>
                <c:pt idx="4">
                  <c:v>Pediatrics</c:v>
                </c:pt>
              </c:strCache>
            </c:strRef>
          </c:cat>
          <c:val>
            <c:numRef>
              <c:f>Analysis!$B$40:$B$45</c:f>
              <c:numCache>
                <c:formatCode>General</c:formatCode>
                <c:ptCount val="5"/>
                <c:pt idx="0">
                  <c:v>1500</c:v>
                </c:pt>
                <c:pt idx="1">
                  <c:v>505</c:v>
                </c:pt>
                <c:pt idx="2">
                  <c:v>750</c:v>
                </c:pt>
                <c:pt idx="3">
                  <c:v>630</c:v>
                </c:pt>
                <c:pt idx="4">
                  <c:v>275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AC9-465C-A7AC-3B0CA1506B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58652191"/>
        <c:axId val="558652671"/>
      </c:barChart>
      <c:catAx>
        <c:axId val="558652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8652671"/>
        <c:crosses val="autoZero"/>
        <c:auto val="1"/>
        <c:lblAlgn val="ctr"/>
        <c:lblOffset val="100"/>
        <c:noMultiLvlLbl val="0"/>
      </c:catAx>
      <c:valAx>
        <c:axId val="5586526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8652191"/>
        <c:crosses val="autoZero"/>
        <c:crossBetween val="between"/>
      </c:valAx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31750</xdr:colOff>
      <xdr:row>0</xdr:row>
      <xdr:rowOff>50800</xdr:rowOff>
    </xdr:from>
    <xdr:to>
      <xdr:col>9</xdr:col>
      <xdr:colOff>279400</xdr:colOff>
      <xdr:row>13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6351A68-7E4E-AFAD-E040-679BB907D6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38099</xdr:colOff>
      <xdr:row>14</xdr:row>
      <xdr:rowOff>0</xdr:rowOff>
    </xdr:from>
    <xdr:to>
      <xdr:col>9</xdr:col>
      <xdr:colOff>476248</xdr:colOff>
      <xdr:row>14</xdr:row>
      <xdr:rowOff>95250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7C03896C-B653-21D9-2B1C-854A763860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63500</xdr:colOff>
      <xdr:row>18</xdr:row>
      <xdr:rowOff>63500</xdr:rowOff>
    </xdr:from>
    <xdr:to>
      <xdr:col>10</xdr:col>
      <xdr:colOff>368300</xdr:colOff>
      <xdr:row>33</xdr:row>
      <xdr:rowOff>44450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58C309B9-40CE-702E-718D-62CF16CD2F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130175</xdr:colOff>
      <xdr:row>36</xdr:row>
      <xdr:rowOff>114300</xdr:rowOff>
    </xdr:from>
    <xdr:to>
      <xdr:col>9</xdr:col>
      <xdr:colOff>431800</xdr:colOff>
      <xdr:row>49</xdr:row>
      <xdr:rowOff>76200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A047EFA8-65F4-B55F-31BC-31F5924756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beel" refreshedDate="46103.581418287038" createdVersion="8" refreshedVersion="8" minRefreshableVersion="3" recordCount="15" xr:uid="{4F947F51-FF39-406F-927C-CCA0C14AEA44}">
  <cacheSource type="worksheet">
    <worksheetSource ref="A1:I16" sheet="Data"/>
  </cacheSource>
  <cacheFields count="9">
    <cacheField name="Claim ID" numFmtId="0">
      <sharedItems count="15">
        <s v="C1001"/>
        <s v="C1002"/>
        <s v="C1003"/>
        <s v="C1004"/>
        <s v="C1005"/>
        <s v="C1006"/>
        <s v="C1007"/>
        <s v="C1008"/>
        <s v="C1009"/>
        <s v="C1010"/>
        <s v="C1011"/>
        <s v="C1012"/>
        <s v="C1013"/>
        <s v="C1014"/>
        <s v="C1015"/>
      </sharedItems>
    </cacheField>
    <cacheField name="Patient ID" numFmtId="0">
      <sharedItems/>
    </cacheField>
    <cacheField name="Age" numFmtId="0">
      <sharedItems containsSemiMixedTypes="0" containsString="0" containsNumber="1" containsInteger="1" minValue="27" maxValue="61" count="15">
        <n v="34"/>
        <n v="42"/>
        <n v="27"/>
        <n v="55"/>
        <n v="61"/>
        <n v="36"/>
        <n v="29"/>
        <n v="48"/>
        <n v="33"/>
        <n v="50"/>
        <n v="38"/>
        <n v="45"/>
        <n v="32"/>
        <n v="56"/>
        <n v="40"/>
      </sharedItems>
    </cacheField>
    <cacheField name="Gender" numFmtId="0">
      <sharedItems/>
    </cacheField>
    <cacheField name="Provider ID" numFmtId="0">
      <sharedItems count="5">
        <s v="PRV001"/>
        <s v="PRV002"/>
        <s v="PRV003"/>
        <s v="PRV004"/>
        <s v="PRV005"/>
      </sharedItems>
    </cacheField>
    <cacheField name="Specialty" numFmtId="0">
      <sharedItems count="5">
        <s v="Cardiology"/>
        <s v="Dermatology"/>
        <s v="Pediatrics"/>
        <s v="Orthopedics"/>
        <s v="Neurology"/>
      </sharedItems>
    </cacheField>
    <cacheField name="Diagnosis Code" numFmtId="0">
      <sharedItems count="10">
        <s v="I10"/>
        <s v="L40"/>
        <s v="J06"/>
        <s v="I25"/>
        <s v="M54"/>
        <s v="L20"/>
        <s v="G43"/>
        <s v="J18"/>
        <s v="M51"/>
        <s v="G44"/>
      </sharedItems>
    </cacheField>
    <cacheField name="Claim Amount" numFmtId="0">
      <sharedItems containsSemiMixedTypes="0" containsString="0" containsNumber="1" containsInteger="1" minValue="75" maxValue="500"/>
    </cacheField>
    <cacheField name="Date of Service" numFmtId="14">
      <sharedItems containsSemiMixedTypes="0" containsNonDate="0" containsDate="1" containsString="0" minDate="2026-01-05T00:00:00" maxDate="2026-01-18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x v="0"/>
    <s v="P001"/>
    <x v="0"/>
    <s v="Female"/>
    <x v="0"/>
    <x v="0"/>
    <x v="0"/>
    <n v="250"/>
    <d v="2026-01-05T00:00:00"/>
  </r>
  <r>
    <x v="1"/>
    <s v="P002"/>
    <x v="1"/>
    <s v="Male"/>
    <x v="1"/>
    <x v="1"/>
    <x v="1"/>
    <n v="180"/>
    <d v="2026-01-06T00:00:00"/>
  </r>
  <r>
    <x v="2"/>
    <s v="P003"/>
    <x v="2"/>
    <s v="Female"/>
    <x v="2"/>
    <x v="2"/>
    <x v="2"/>
    <n v="75"/>
    <d v="2026-01-07T00:00:00"/>
  </r>
  <r>
    <x v="3"/>
    <s v="P004"/>
    <x v="3"/>
    <s v="Male"/>
    <x v="0"/>
    <x v="0"/>
    <x v="3"/>
    <n v="500"/>
    <d v="2026-01-08T00:00:00"/>
  </r>
  <r>
    <x v="4"/>
    <s v="P005"/>
    <x v="4"/>
    <s v="Female"/>
    <x v="3"/>
    <x v="3"/>
    <x v="4"/>
    <n v="200"/>
    <d v="2026-01-08T00:00:00"/>
  </r>
  <r>
    <x v="5"/>
    <s v="P006"/>
    <x v="5"/>
    <s v="Male"/>
    <x v="1"/>
    <x v="1"/>
    <x v="5"/>
    <n v="150"/>
    <d v="2026-01-09T00:00:00"/>
  </r>
  <r>
    <x v="6"/>
    <s v="P007"/>
    <x v="6"/>
    <s v="Female"/>
    <x v="4"/>
    <x v="4"/>
    <x v="6"/>
    <n v="400"/>
    <d v="2026-01-10T00:00:00"/>
  </r>
  <r>
    <x v="7"/>
    <s v="P008"/>
    <x v="7"/>
    <s v="Male"/>
    <x v="2"/>
    <x v="2"/>
    <x v="7"/>
    <n v="120"/>
    <d v="2026-01-11T00:00:00"/>
  </r>
  <r>
    <x v="8"/>
    <s v="P009"/>
    <x v="8"/>
    <s v="Female"/>
    <x v="3"/>
    <x v="3"/>
    <x v="8"/>
    <n v="220"/>
    <d v="2026-01-12T00:00:00"/>
  </r>
  <r>
    <x v="9"/>
    <s v="P010"/>
    <x v="9"/>
    <s v="Male"/>
    <x v="0"/>
    <x v="0"/>
    <x v="0"/>
    <n v="300"/>
    <d v="2026-01-12T00:00:00"/>
  </r>
  <r>
    <x v="10"/>
    <s v="P011"/>
    <x v="10"/>
    <s v="Female"/>
    <x v="4"/>
    <x v="4"/>
    <x v="9"/>
    <n v="350"/>
    <d v="2026-01-13T00:00:00"/>
  </r>
  <r>
    <x v="11"/>
    <s v="P012"/>
    <x v="11"/>
    <s v="Male"/>
    <x v="1"/>
    <x v="1"/>
    <x v="1"/>
    <n v="175"/>
    <d v="2026-01-14T00:00:00"/>
  </r>
  <r>
    <x v="12"/>
    <s v="P013"/>
    <x v="12"/>
    <s v="Female"/>
    <x v="2"/>
    <x v="2"/>
    <x v="2"/>
    <n v="80"/>
    <d v="2026-01-15T00:00:00"/>
  </r>
  <r>
    <x v="13"/>
    <s v="P014"/>
    <x v="13"/>
    <s v="Male"/>
    <x v="3"/>
    <x v="3"/>
    <x v="4"/>
    <n v="210"/>
    <d v="2026-01-16T00:00:00"/>
  </r>
  <r>
    <x v="14"/>
    <s v="P015"/>
    <x v="14"/>
    <s v="Female"/>
    <x v="0"/>
    <x v="0"/>
    <x v="3"/>
    <n v="450"/>
    <d v="2026-01-17T00:00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E149BE-2717-409B-A771-4B8A356EED7C}" name="PivotTable4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 rowHeaderCaption="Specialty">
  <location ref="A39:B45" firstHeaderRow="1" firstDataRow="1" firstDataCol="1"/>
  <pivotFields count="9">
    <pivotField showAll="0"/>
    <pivotField showAll="0"/>
    <pivotField showAll="0">
      <items count="16">
        <item x="2"/>
        <item x="6"/>
        <item x="12"/>
        <item x="8"/>
        <item x="0"/>
        <item x="5"/>
        <item x="10"/>
        <item x="14"/>
        <item x="1"/>
        <item x="11"/>
        <item x="7"/>
        <item x="9"/>
        <item x="3"/>
        <item x="13"/>
        <item x="4"/>
        <item t="default"/>
      </items>
    </pivotField>
    <pivotField showAll="0"/>
    <pivotField showAll="0"/>
    <pivotField axis="axisRow" showAll="0">
      <items count="6">
        <item x="0"/>
        <item x="1"/>
        <item x="4"/>
        <item x="3"/>
        <item x="2"/>
        <item t="default"/>
      </items>
    </pivotField>
    <pivotField showAll="0"/>
    <pivotField dataField="1" showAll="0"/>
    <pivotField numFmtId="14" showAll="0"/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Claim Amount" fld="7" baseField="0" baseItem="0"/>
  </dataFields>
  <chartFormats count="4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290FF9-3316-47C0-8565-504DD523E1C5}" name="PivotTable3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Dx Code">
  <location ref="A20:B31" firstHeaderRow="1" firstDataRow="1" firstDataCol="1"/>
  <pivotFields count="9">
    <pivotField showAll="0"/>
    <pivotField showAll="0"/>
    <pivotField showAll="0"/>
    <pivotField showAll="0"/>
    <pivotField showAll="0"/>
    <pivotField showAll="0"/>
    <pivotField axis="axisRow" showAll="0">
      <items count="11">
        <item x="6"/>
        <item x="9"/>
        <item x="0"/>
        <item x="3"/>
        <item x="2"/>
        <item x="7"/>
        <item x="5"/>
        <item x="1"/>
        <item x="8"/>
        <item x="4"/>
        <item t="default"/>
      </items>
    </pivotField>
    <pivotField dataField="1" showAll="0"/>
    <pivotField numFmtId="14" showAll="0"/>
  </pivotFields>
  <rowFields count="1">
    <field x="6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Claim Amount" fld="7" baseField="0" baseItem="0"/>
  </dataField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872728-8579-4856-AF83-4B513373E274}" name="PivotTable1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Provider ID">
  <location ref="A2:B8" firstHeaderRow="1" firstDataRow="1" firstDataCol="1"/>
  <pivotFields count="9">
    <pivotField dataField="1" showAll="0"/>
    <pivotField showAll="0"/>
    <pivotField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numFmtId="14" showAll="0"/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Claim ID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BFF41-2FEB-4284-A3A5-94A3B943032A}">
  <dimension ref="A1:B21"/>
  <sheetViews>
    <sheetView showGridLines="0" tabSelected="1" workbookViewId="0">
      <selection activeCell="L11" sqref="L11"/>
    </sheetView>
  </sheetViews>
  <sheetFormatPr defaultRowHeight="14.5" x14ac:dyDescent="0.35"/>
  <sheetData>
    <row r="1" spans="1:2" ht="18" x14ac:dyDescent="0.35">
      <c r="A1" s="14" t="s">
        <v>80</v>
      </c>
    </row>
    <row r="2" spans="1:2" x14ac:dyDescent="0.35">
      <c r="A2" s="11" t="s">
        <v>67</v>
      </c>
    </row>
    <row r="3" spans="1:2" x14ac:dyDescent="0.35">
      <c r="A3" s="9"/>
    </row>
    <row r="4" spans="1:2" x14ac:dyDescent="0.35">
      <c r="A4" s="9"/>
    </row>
    <row r="5" spans="1:2" ht="18" x14ac:dyDescent="0.35">
      <c r="A5" s="14" t="s">
        <v>79</v>
      </c>
    </row>
    <row r="6" spans="1:2" ht="17.5" x14ac:dyDescent="0.35">
      <c r="B6" s="15" t="s">
        <v>62</v>
      </c>
    </row>
    <row r="7" spans="1:2" x14ac:dyDescent="0.35">
      <c r="B7" s="13" t="s">
        <v>72</v>
      </c>
    </row>
    <row r="8" spans="1:2" x14ac:dyDescent="0.35">
      <c r="B8" s="13" t="s">
        <v>73</v>
      </c>
    </row>
    <row r="10" spans="1:2" ht="17.5" x14ac:dyDescent="0.35">
      <c r="B10" s="15" t="s">
        <v>64</v>
      </c>
    </row>
    <row r="11" spans="1:2" x14ac:dyDescent="0.35">
      <c r="B11" s="13" t="s">
        <v>74</v>
      </c>
    </row>
    <row r="12" spans="1:2" x14ac:dyDescent="0.35">
      <c r="B12" s="13" t="s">
        <v>75</v>
      </c>
    </row>
    <row r="14" spans="1:2" ht="17.5" x14ac:dyDescent="0.35">
      <c r="B14" s="15" t="s">
        <v>71</v>
      </c>
    </row>
    <row r="15" spans="1:2" x14ac:dyDescent="0.35">
      <c r="B15" s="13" t="s">
        <v>76</v>
      </c>
    </row>
    <row r="16" spans="1:2" x14ac:dyDescent="0.35">
      <c r="B16" s="9" t="s">
        <v>77</v>
      </c>
    </row>
    <row r="17" spans="1:2" x14ac:dyDescent="0.35">
      <c r="A17" s="10"/>
    </row>
    <row r="18" spans="1:2" ht="18" x14ac:dyDescent="0.35">
      <c r="A18" s="14" t="s">
        <v>78</v>
      </c>
    </row>
    <row r="19" spans="1:2" x14ac:dyDescent="0.35">
      <c r="B19" s="12" t="s">
        <v>68</v>
      </c>
    </row>
    <row r="20" spans="1:2" x14ac:dyDescent="0.35">
      <c r="B20" s="12" t="s">
        <v>69</v>
      </c>
    </row>
    <row r="21" spans="1:2" x14ac:dyDescent="0.35">
      <c r="B21" s="12" t="s">
        <v>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A777C-98DA-4F5B-83E7-6D997AC5C5BB}">
  <dimension ref="A1:C45"/>
  <sheetViews>
    <sheetView zoomScaleNormal="100" workbookViewId="0">
      <selection activeCell="L11" sqref="L11"/>
    </sheetView>
  </sheetViews>
  <sheetFormatPr defaultRowHeight="14.5" x14ac:dyDescent="0.35"/>
  <cols>
    <col min="1" max="1" width="11.54296875" bestFit="1" customWidth="1"/>
    <col min="2" max="3" width="19.1796875" bestFit="1" customWidth="1"/>
    <col min="4" max="4" width="9.36328125" bestFit="1" customWidth="1"/>
    <col min="5" max="5" width="11.08984375" bestFit="1" customWidth="1"/>
    <col min="6" max="6" width="9" bestFit="1" customWidth="1"/>
    <col min="7" max="7" width="10.7265625" bestFit="1" customWidth="1"/>
    <col min="8" max="8" width="7.54296875" bestFit="1" customWidth="1"/>
    <col min="9" max="9" width="9.6328125" bestFit="1" customWidth="1"/>
    <col min="10" max="10" width="7.54296875" bestFit="1" customWidth="1"/>
    <col min="11" max="11" width="11.6328125" bestFit="1" customWidth="1"/>
    <col min="12" max="12" width="7.54296875" bestFit="1" customWidth="1"/>
    <col min="13" max="13" width="9.36328125" bestFit="1" customWidth="1"/>
    <col min="14" max="14" width="7.54296875" bestFit="1" customWidth="1"/>
    <col min="15" max="15" width="9.6328125" bestFit="1" customWidth="1"/>
    <col min="16" max="16" width="7.54296875" bestFit="1" customWidth="1"/>
    <col min="17" max="17" width="11.6328125" bestFit="1" customWidth="1"/>
    <col min="18" max="18" width="7.54296875" bestFit="1" customWidth="1"/>
    <col min="19" max="19" width="11.6328125" bestFit="1" customWidth="1"/>
    <col min="20" max="20" width="7.54296875" bestFit="1" customWidth="1"/>
    <col min="21" max="21" width="9" bestFit="1" customWidth="1"/>
    <col min="22" max="22" width="7.54296875" bestFit="1" customWidth="1"/>
    <col min="23" max="23" width="9.6328125" bestFit="1" customWidth="1"/>
    <col min="24" max="24" width="7.54296875" bestFit="1" customWidth="1"/>
    <col min="25" max="25" width="9.6328125" bestFit="1" customWidth="1"/>
    <col min="26" max="26" width="7.54296875" bestFit="1" customWidth="1"/>
    <col min="27" max="27" width="11.08984375" bestFit="1" customWidth="1"/>
    <col min="28" max="28" width="7.54296875" bestFit="1" customWidth="1"/>
    <col min="29" max="29" width="11.08984375" bestFit="1" customWidth="1"/>
    <col min="30" max="30" width="7.54296875" bestFit="1" customWidth="1"/>
    <col min="31" max="31" width="10.7265625" bestFit="1" customWidth="1"/>
  </cols>
  <sheetData>
    <row r="1" spans="1:2" x14ac:dyDescent="0.35">
      <c r="A1" s="4" t="s">
        <v>62</v>
      </c>
      <c r="B1" s="4"/>
    </row>
    <row r="2" spans="1:2" x14ac:dyDescent="0.35">
      <c r="A2" s="6" t="s">
        <v>4</v>
      </c>
      <c r="B2" t="s">
        <v>63</v>
      </c>
    </row>
    <row r="3" spans="1:2" x14ac:dyDescent="0.35">
      <c r="A3" s="5" t="s">
        <v>12</v>
      </c>
      <c r="B3" s="7">
        <v>4</v>
      </c>
    </row>
    <row r="4" spans="1:2" x14ac:dyDescent="0.35">
      <c r="A4" s="5" t="s">
        <v>18</v>
      </c>
      <c r="B4" s="7">
        <v>3</v>
      </c>
    </row>
    <row r="5" spans="1:2" x14ac:dyDescent="0.35">
      <c r="A5" s="5" t="s">
        <v>23</v>
      </c>
      <c r="B5" s="7">
        <v>3</v>
      </c>
    </row>
    <row r="6" spans="1:2" x14ac:dyDescent="0.35">
      <c r="A6" s="5" t="s">
        <v>31</v>
      </c>
      <c r="B6" s="7">
        <v>3</v>
      </c>
    </row>
    <row r="7" spans="1:2" x14ac:dyDescent="0.35">
      <c r="A7" s="5" t="s">
        <v>39</v>
      </c>
      <c r="B7" s="7">
        <v>2</v>
      </c>
    </row>
    <row r="8" spans="1:2" x14ac:dyDescent="0.35">
      <c r="A8" s="5" t="s">
        <v>61</v>
      </c>
      <c r="B8" s="7">
        <v>15</v>
      </c>
    </row>
    <row r="19" spans="1:3" x14ac:dyDescent="0.35">
      <c r="A19" s="4" t="s">
        <v>64</v>
      </c>
      <c r="B19" s="4"/>
      <c r="C19" s="8"/>
    </row>
    <row r="20" spans="1:3" x14ac:dyDescent="0.35">
      <c r="A20" s="6" t="s">
        <v>66</v>
      </c>
      <c r="B20" t="s">
        <v>65</v>
      </c>
    </row>
    <row r="21" spans="1:3" x14ac:dyDescent="0.35">
      <c r="A21" s="5" t="s">
        <v>41</v>
      </c>
      <c r="B21" s="7">
        <v>400</v>
      </c>
    </row>
    <row r="22" spans="1:3" x14ac:dyDescent="0.35">
      <c r="A22" s="5" t="s">
        <v>52</v>
      </c>
      <c r="B22" s="7">
        <v>350</v>
      </c>
    </row>
    <row r="23" spans="1:3" x14ac:dyDescent="0.35">
      <c r="A23" s="5" t="s">
        <v>14</v>
      </c>
      <c r="B23" s="7">
        <v>550</v>
      </c>
    </row>
    <row r="24" spans="1:3" x14ac:dyDescent="0.35">
      <c r="A24" s="5" t="s">
        <v>28</v>
      </c>
      <c r="B24" s="7">
        <v>950</v>
      </c>
    </row>
    <row r="25" spans="1:3" x14ac:dyDescent="0.35">
      <c r="A25" s="5" t="s">
        <v>25</v>
      </c>
      <c r="B25" s="7">
        <v>155</v>
      </c>
    </row>
    <row r="26" spans="1:3" x14ac:dyDescent="0.35">
      <c r="A26" s="5" t="s">
        <v>44</v>
      </c>
      <c r="B26" s="7">
        <v>120</v>
      </c>
    </row>
    <row r="27" spans="1:3" x14ac:dyDescent="0.35">
      <c r="A27" s="5" t="s">
        <v>36</v>
      </c>
      <c r="B27" s="7">
        <v>150</v>
      </c>
    </row>
    <row r="28" spans="1:3" x14ac:dyDescent="0.35">
      <c r="A28" s="5" t="s">
        <v>20</v>
      </c>
      <c r="B28" s="7">
        <v>355</v>
      </c>
    </row>
    <row r="29" spans="1:3" x14ac:dyDescent="0.35">
      <c r="A29" s="5" t="s">
        <v>47</v>
      </c>
      <c r="B29" s="7">
        <v>220</v>
      </c>
    </row>
    <row r="30" spans="1:3" x14ac:dyDescent="0.35">
      <c r="A30" s="5" t="s">
        <v>33</v>
      </c>
      <c r="B30" s="7">
        <v>410</v>
      </c>
    </row>
    <row r="31" spans="1:3" x14ac:dyDescent="0.35">
      <c r="A31" s="5" t="s">
        <v>61</v>
      </c>
      <c r="B31" s="7">
        <v>3660</v>
      </c>
    </row>
    <row r="38" spans="1:2" x14ac:dyDescent="0.35">
      <c r="A38" s="4" t="s">
        <v>71</v>
      </c>
      <c r="B38" s="4"/>
    </row>
    <row r="39" spans="1:2" x14ac:dyDescent="0.35">
      <c r="A39" s="6" t="s">
        <v>5</v>
      </c>
      <c r="B39" t="s">
        <v>65</v>
      </c>
    </row>
    <row r="40" spans="1:2" x14ac:dyDescent="0.35">
      <c r="A40" s="5" t="s">
        <v>13</v>
      </c>
      <c r="B40" s="7">
        <v>1500</v>
      </c>
    </row>
    <row r="41" spans="1:2" x14ac:dyDescent="0.35">
      <c r="A41" s="5" t="s">
        <v>19</v>
      </c>
      <c r="B41" s="7">
        <v>505</v>
      </c>
    </row>
    <row r="42" spans="1:2" x14ac:dyDescent="0.35">
      <c r="A42" s="5" t="s">
        <v>40</v>
      </c>
      <c r="B42" s="7">
        <v>750</v>
      </c>
    </row>
    <row r="43" spans="1:2" x14ac:dyDescent="0.35">
      <c r="A43" s="5" t="s">
        <v>32</v>
      </c>
      <c r="B43" s="7">
        <v>630</v>
      </c>
    </row>
    <row r="44" spans="1:2" x14ac:dyDescent="0.35">
      <c r="A44" s="5" t="s">
        <v>24</v>
      </c>
      <c r="B44" s="7">
        <v>275</v>
      </c>
    </row>
    <row r="45" spans="1:2" x14ac:dyDescent="0.35">
      <c r="A45" s="5" t="s">
        <v>61</v>
      </c>
      <c r="B45" s="7">
        <v>3660</v>
      </c>
    </row>
  </sheetData>
  <mergeCells count="3">
    <mergeCell ref="A19:B19"/>
    <mergeCell ref="A38:B38"/>
    <mergeCell ref="A1:B1"/>
  </mergeCells>
  <pageMargins left="0.7" right="0.7" top="0.75" bottom="0.75" header="0.3" footer="0.3"/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"/>
  <sheetViews>
    <sheetView workbookViewId="0">
      <selection activeCell="F5" sqref="F5"/>
    </sheetView>
  </sheetViews>
  <sheetFormatPr defaultRowHeight="14.5" x14ac:dyDescent="0.35"/>
  <cols>
    <col min="1" max="1" width="8.453125" bestFit="1" customWidth="1"/>
    <col min="2" max="2" width="7.26953125" bestFit="1" customWidth="1"/>
    <col min="3" max="3" width="4.453125" bestFit="1" customWidth="1"/>
    <col min="4" max="4" width="7.6328125" bestFit="1" customWidth="1"/>
    <col min="6" max="6" width="12.08984375" bestFit="1" customWidth="1"/>
    <col min="7" max="7" width="8.453125" customWidth="1"/>
    <col min="8" max="8" width="8.08984375" bestFit="1" customWidth="1"/>
    <col min="9" max="9" width="9.54296875" bestFit="1" customWidth="1"/>
  </cols>
  <sheetData>
    <row r="1" spans="1:9" ht="2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28" x14ac:dyDescent="0.35">
      <c r="A2" s="2" t="s">
        <v>9</v>
      </c>
      <c r="B2" s="2" t="s">
        <v>10</v>
      </c>
      <c r="C2" s="2">
        <v>34</v>
      </c>
      <c r="D2" s="2" t="s">
        <v>11</v>
      </c>
      <c r="E2" s="2" t="s">
        <v>12</v>
      </c>
      <c r="F2" s="2" t="s">
        <v>13</v>
      </c>
      <c r="G2" s="2" t="s">
        <v>14</v>
      </c>
      <c r="H2" s="2">
        <v>250</v>
      </c>
      <c r="I2" s="3">
        <v>46027</v>
      </c>
    </row>
    <row r="3" spans="1:9" ht="28" x14ac:dyDescent="0.35">
      <c r="A3" s="2" t="s">
        <v>15</v>
      </c>
      <c r="B3" s="2" t="s">
        <v>16</v>
      </c>
      <c r="C3" s="2">
        <v>42</v>
      </c>
      <c r="D3" s="2" t="s">
        <v>17</v>
      </c>
      <c r="E3" s="2" t="s">
        <v>18</v>
      </c>
      <c r="F3" s="2" t="s">
        <v>19</v>
      </c>
      <c r="G3" s="2" t="s">
        <v>20</v>
      </c>
      <c r="H3" s="2">
        <v>180</v>
      </c>
      <c r="I3" s="3">
        <v>46028</v>
      </c>
    </row>
    <row r="4" spans="1:9" ht="28" x14ac:dyDescent="0.35">
      <c r="A4" s="2" t="s">
        <v>21</v>
      </c>
      <c r="B4" s="2" t="s">
        <v>22</v>
      </c>
      <c r="C4" s="2">
        <v>27</v>
      </c>
      <c r="D4" s="2" t="s">
        <v>11</v>
      </c>
      <c r="E4" s="2" t="s">
        <v>23</v>
      </c>
      <c r="F4" s="2" t="s">
        <v>24</v>
      </c>
      <c r="G4" s="2" t="s">
        <v>25</v>
      </c>
      <c r="H4" s="2">
        <v>75</v>
      </c>
      <c r="I4" s="3">
        <v>46029</v>
      </c>
    </row>
    <row r="5" spans="1:9" ht="28" x14ac:dyDescent="0.35">
      <c r="A5" s="2" t="s">
        <v>26</v>
      </c>
      <c r="B5" s="2" t="s">
        <v>27</v>
      </c>
      <c r="C5" s="2">
        <v>55</v>
      </c>
      <c r="D5" s="2" t="s">
        <v>17</v>
      </c>
      <c r="E5" s="2" t="s">
        <v>12</v>
      </c>
      <c r="F5" s="2" t="s">
        <v>13</v>
      </c>
      <c r="G5" s="2" t="s">
        <v>28</v>
      </c>
      <c r="H5" s="2">
        <v>500</v>
      </c>
      <c r="I5" s="3">
        <v>46030</v>
      </c>
    </row>
    <row r="6" spans="1:9" ht="28" x14ac:dyDescent="0.35">
      <c r="A6" s="2" t="s">
        <v>29</v>
      </c>
      <c r="B6" s="2" t="s">
        <v>30</v>
      </c>
      <c r="C6" s="2">
        <v>61</v>
      </c>
      <c r="D6" s="2" t="s">
        <v>11</v>
      </c>
      <c r="E6" s="2" t="s">
        <v>31</v>
      </c>
      <c r="F6" s="2" t="s">
        <v>32</v>
      </c>
      <c r="G6" s="2" t="s">
        <v>33</v>
      </c>
      <c r="H6" s="2">
        <v>200</v>
      </c>
      <c r="I6" s="3">
        <v>46030</v>
      </c>
    </row>
    <row r="7" spans="1:9" ht="28" x14ac:dyDescent="0.35">
      <c r="A7" s="2" t="s">
        <v>34</v>
      </c>
      <c r="B7" s="2" t="s">
        <v>35</v>
      </c>
      <c r="C7" s="2">
        <v>36</v>
      </c>
      <c r="D7" s="2" t="s">
        <v>17</v>
      </c>
      <c r="E7" s="2" t="s">
        <v>18</v>
      </c>
      <c r="F7" s="2" t="s">
        <v>19</v>
      </c>
      <c r="G7" s="2" t="s">
        <v>36</v>
      </c>
      <c r="H7" s="2">
        <v>150</v>
      </c>
      <c r="I7" s="3">
        <v>46031</v>
      </c>
    </row>
    <row r="8" spans="1:9" ht="28" x14ac:dyDescent="0.35">
      <c r="A8" s="2" t="s">
        <v>37</v>
      </c>
      <c r="B8" s="2" t="s">
        <v>38</v>
      </c>
      <c r="C8" s="2">
        <v>29</v>
      </c>
      <c r="D8" s="2" t="s">
        <v>11</v>
      </c>
      <c r="E8" s="2" t="s">
        <v>39</v>
      </c>
      <c r="F8" s="2" t="s">
        <v>40</v>
      </c>
      <c r="G8" s="2" t="s">
        <v>41</v>
      </c>
      <c r="H8" s="2">
        <v>400</v>
      </c>
      <c r="I8" s="3">
        <v>46032</v>
      </c>
    </row>
    <row r="9" spans="1:9" ht="28" x14ac:dyDescent="0.35">
      <c r="A9" s="2" t="s">
        <v>42</v>
      </c>
      <c r="B9" s="2" t="s">
        <v>43</v>
      </c>
      <c r="C9" s="2">
        <v>48</v>
      </c>
      <c r="D9" s="2" t="s">
        <v>17</v>
      </c>
      <c r="E9" s="2" t="s">
        <v>23</v>
      </c>
      <c r="F9" s="2" t="s">
        <v>24</v>
      </c>
      <c r="G9" s="2" t="s">
        <v>44</v>
      </c>
      <c r="H9" s="2">
        <v>120</v>
      </c>
      <c r="I9" s="3">
        <v>46033</v>
      </c>
    </row>
    <row r="10" spans="1:9" ht="28" x14ac:dyDescent="0.35">
      <c r="A10" s="2" t="s">
        <v>45</v>
      </c>
      <c r="B10" s="2" t="s">
        <v>46</v>
      </c>
      <c r="C10" s="2">
        <v>33</v>
      </c>
      <c r="D10" s="2" t="s">
        <v>11</v>
      </c>
      <c r="E10" s="2" t="s">
        <v>31</v>
      </c>
      <c r="F10" s="2" t="s">
        <v>32</v>
      </c>
      <c r="G10" s="2" t="s">
        <v>47</v>
      </c>
      <c r="H10" s="2">
        <v>220</v>
      </c>
      <c r="I10" s="3">
        <v>46034</v>
      </c>
    </row>
    <row r="11" spans="1:9" ht="28" x14ac:dyDescent="0.35">
      <c r="A11" s="2" t="s">
        <v>48</v>
      </c>
      <c r="B11" s="2" t="s">
        <v>49</v>
      </c>
      <c r="C11" s="2">
        <v>50</v>
      </c>
      <c r="D11" s="2" t="s">
        <v>17</v>
      </c>
      <c r="E11" s="2" t="s">
        <v>12</v>
      </c>
      <c r="F11" s="2" t="s">
        <v>13</v>
      </c>
      <c r="G11" s="2" t="s">
        <v>14</v>
      </c>
      <c r="H11" s="2">
        <v>300</v>
      </c>
      <c r="I11" s="3">
        <v>46034</v>
      </c>
    </row>
    <row r="12" spans="1:9" ht="28" x14ac:dyDescent="0.35">
      <c r="A12" s="2" t="s">
        <v>50</v>
      </c>
      <c r="B12" s="2" t="s">
        <v>51</v>
      </c>
      <c r="C12" s="2">
        <v>38</v>
      </c>
      <c r="D12" s="2" t="s">
        <v>11</v>
      </c>
      <c r="E12" s="2" t="s">
        <v>39</v>
      </c>
      <c r="F12" s="2" t="s">
        <v>40</v>
      </c>
      <c r="G12" s="2" t="s">
        <v>52</v>
      </c>
      <c r="H12" s="2">
        <v>350</v>
      </c>
      <c r="I12" s="3">
        <v>46035</v>
      </c>
    </row>
    <row r="13" spans="1:9" ht="28" x14ac:dyDescent="0.35">
      <c r="A13" s="2" t="s">
        <v>53</v>
      </c>
      <c r="B13" s="2" t="s">
        <v>54</v>
      </c>
      <c r="C13" s="2">
        <v>45</v>
      </c>
      <c r="D13" s="2" t="s">
        <v>17</v>
      </c>
      <c r="E13" s="2" t="s">
        <v>18</v>
      </c>
      <c r="F13" s="2" t="s">
        <v>19</v>
      </c>
      <c r="G13" s="2" t="s">
        <v>20</v>
      </c>
      <c r="H13" s="2">
        <v>175</v>
      </c>
      <c r="I13" s="3">
        <v>46036</v>
      </c>
    </row>
    <row r="14" spans="1:9" ht="28" x14ac:dyDescent="0.35">
      <c r="A14" s="2" t="s">
        <v>55</v>
      </c>
      <c r="B14" s="2" t="s">
        <v>56</v>
      </c>
      <c r="C14" s="2">
        <v>32</v>
      </c>
      <c r="D14" s="2" t="s">
        <v>11</v>
      </c>
      <c r="E14" s="2" t="s">
        <v>23</v>
      </c>
      <c r="F14" s="2" t="s">
        <v>24</v>
      </c>
      <c r="G14" s="2" t="s">
        <v>25</v>
      </c>
      <c r="H14" s="2">
        <v>80</v>
      </c>
      <c r="I14" s="3">
        <v>46037</v>
      </c>
    </row>
    <row r="15" spans="1:9" ht="28" x14ac:dyDescent="0.35">
      <c r="A15" s="2" t="s">
        <v>57</v>
      </c>
      <c r="B15" s="2" t="s">
        <v>58</v>
      </c>
      <c r="C15" s="2">
        <v>56</v>
      </c>
      <c r="D15" s="2" t="s">
        <v>17</v>
      </c>
      <c r="E15" s="2" t="s">
        <v>31</v>
      </c>
      <c r="F15" s="2" t="s">
        <v>32</v>
      </c>
      <c r="G15" s="2" t="s">
        <v>33</v>
      </c>
      <c r="H15" s="2">
        <v>210</v>
      </c>
      <c r="I15" s="3">
        <v>46038</v>
      </c>
    </row>
    <row r="16" spans="1:9" ht="28" x14ac:dyDescent="0.35">
      <c r="A16" s="2" t="s">
        <v>59</v>
      </c>
      <c r="B16" s="2" t="s">
        <v>60</v>
      </c>
      <c r="C16" s="2">
        <v>40</v>
      </c>
      <c r="D16" s="2" t="s">
        <v>11</v>
      </c>
      <c r="E16" s="2" t="s">
        <v>12</v>
      </c>
      <c r="F16" s="2" t="s">
        <v>13</v>
      </c>
      <c r="G16" s="2" t="s">
        <v>28</v>
      </c>
      <c r="H16" s="2">
        <v>450</v>
      </c>
      <c r="I16" s="3">
        <v>46039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Analysis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Nabeel</dc:creator>
  <cp:lastModifiedBy>Nabeel Saleem</cp:lastModifiedBy>
  <dcterms:created xsi:type="dcterms:W3CDTF">2015-06-05T18:17:20Z</dcterms:created>
  <dcterms:modified xsi:type="dcterms:W3CDTF">2026-03-22T18:40:01Z</dcterms:modified>
</cp:coreProperties>
</file>