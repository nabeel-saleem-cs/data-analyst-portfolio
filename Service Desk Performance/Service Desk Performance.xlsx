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beel\Documents\MTA\Projects\IT_Service_Desk_Project\"/>
    </mc:Choice>
  </mc:AlternateContent>
  <xr:revisionPtr revIDLastSave="0" documentId="13_ncr:1_{D9E7267B-46FF-4E9D-AB19-5F7125B19F63}" xr6:coauthVersionLast="47" xr6:coauthVersionMax="47" xr10:uidLastSave="{00000000-0000-0000-0000-000000000000}"/>
  <bookViews>
    <workbookView xWindow="-110" yWindow="-110" windowWidth="19420" windowHeight="10300" tabRatio="668" activeTab="2" xr2:uid="{00000000-000D-0000-FFFF-FFFF00000000}"/>
  </bookViews>
  <sheets>
    <sheet name="Dashboard" sheetId="7" r:id="rId1"/>
    <sheet name="KPI_Summary" sheetId="4" r:id="rId2"/>
    <sheet name="Pivot_Tables" sheetId="5" r:id="rId3"/>
    <sheet name="Charts" sheetId="6" r:id="rId4"/>
    <sheet name="--&gt; Data" sheetId="10" r:id="rId5"/>
    <sheet name="Agent_TimeSheets" sheetId="2" r:id="rId6"/>
    <sheet name="Support_Tickets" sheetId="1" r:id="rId7"/>
    <sheet name="Agent_Info" sheetId="3" r:id="rId8"/>
  </sheets>
  <calcPr calcId="191029"/>
  <pivotCaches>
    <pivotCache cacheId="63" r:id="rId9"/>
    <pivotCache cacheId="6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5" l="1"/>
  <c r="G77" i="5"/>
  <c r="G78" i="5"/>
  <c r="G79" i="5"/>
  <c r="G75" i="5"/>
  <c r="G96" i="5"/>
  <c r="G97" i="5"/>
  <c r="G95" i="5"/>
  <c r="G86" i="5"/>
  <c r="G87" i="5"/>
  <c r="G88" i="5"/>
  <c r="G89" i="5"/>
  <c r="G85" i="5"/>
  <c r="H76" i="5"/>
  <c r="H77" i="5"/>
  <c r="H78" i="5"/>
  <c r="H79" i="5"/>
  <c r="H75" i="5"/>
  <c r="G66" i="5"/>
  <c r="G67" i="5"/>
  <c r="G68" i="5"/>
  <c r="G69" i="5"/>
  <c r="G65" i="5"/>
  <c r="G55" i="5"/>
  <c r="G56" i="5"/>
  <c r="G57" i="5"/>
  <c r="G58" i="5"/>
  <c r="G46" i="5"/>
  <c r="G47" i="5"/>
  <c r="G48" i="5"/>
  <c r="G49" i="5"/>
  <c r="G45" i="5"/>
  <c r="G35" i="5"/>
  <c r="G36" i="5"/>
  <c r="G37" i="5"/>
  <c r="G38" i="5"/>
  <c r="G34" i="5"/>
  <c r="G25" i="5"/>
  <c r="G26" i="5"/>
  <c r="G27" i="5"/>
  <c r="G24" i="5"/>
  <c r="G5" i="5"/>
  <c r="G6" i="5"/>
  <c r="G7" i="5"/>
  <c r="G4" i="5"/>
  <c r="H5" i="5"/>
  <c r="H6" i="5"/>
  <c r="H7" i="5"/>
  <c r="H4" i="5"/>
  <c r="N7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N2" i="2"/>
  <c r="N3" i="2"/>
  <c r="N4" i="2"/>
  <c r="N5" i="2"/>
  <c r="N6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L2" i="2"/>
  <c r="K2" i="2"/>
  <c r="J2" i="2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G2" i="3"/>
  <c r="G3" i="3"/>
  <c r="G4" i="3"/>
  <c r="G5" i="3"/>
  <c r="G6" i="3"/>
  <c r="F2" i="3"/>
  <c r="F3" i="3"/>
  <c r="F4" i="3"/>
  <c r="F5" i="3"/>
  <c r="F6" i="3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B9" i="4"/>
  <c r="L2" i="7" s="1"/>
  <c r="B8" i="4"/>
  <c r="B7" i="4"/>
  <c r="I2" i="7" s="1"/>
  <c r="B4" i="4"/>
  <c r="B3" i="4"/>
  <c r="B2" i="4"/>
  <c r="B1" i="4"/>
  <c r="C2" i="7" s="1"/>
  <c r="I149" i="2"/>
  <c r="I99" i="2"/>
  <c r="I22" i="2"/>
  <c r="I88" i="2"/>
  <c r="I40" i="2"/>
  <c r="I159" i="2"/>
  <c r="I186" i="2"/>
  <c r="I50" i="2"/>
  <c r="I66" i="2"/>
  <c r="I104" i="2"/>
  <c r="I136" i="2"/>
  <c r="I47" i="2"/>
  <c r="I17" i="2"/>
  <c r="I62" i="2"/>
  <c r="I187" i="2"/>
  <c r="I137" i="2"/>
  <c r="I4" i="2"/>
  <c r="I19" i="2"/>
  <c r="I135" i="2"/>
  <c r="I92" i="2"/>
  <c r="I53" i="2"/>
  <c r="I119" i="2"/>
  <c r="I12" i="2"/>
  <c r="I29" i="2"/>
  <c r="I177" i="2"/>
  <c r="I183" i="2"/>
  <c r="I83" i="2"/>
  <c r="I196" i="2"/>
  <c r="I9" i="2"/>
  <c r="I130" i="2"/>
  <c r="I74" i="2"/>
  <c r="I82" i="2"/>
  <c r="I26" i="2"/>
  <c r="I180" i="2"/>
  <c r="I90" i="2"/>
  <c r="I94" i="2"/>
  <c r="I78" i="2"/>
  <c r="I169" i="2"/>
  <c r="I113" i="2"/>
  <c r="I117" i="2"/>
  <c r="I84" i="2"/>
  <c r="I185" i="2"/>
  <c r="I147" i="2"/>
  <c r="I43" i="2"/>
  <c r="I133" i="2"/>
  <c r="I155" i="2"/>
  <c r="I37" i="2"/>
  <c r="I93" i="2"/>
  <c r="I148" i="2"/>
  <c r="I91" i="2"/>
  <c r="I101" i="2"/>
  <c r="I198" i="2"/>
  <c r="I59" i="2"/>
  <c r="I86" i="2"/>
  <c r="I30" i="2"/>
  <c r="I63" i="2"/>
  <c r="I45" i="2"/>
  <c r="I193" i="2"/>
  <c r="I79" i="2"/>
  <c r="I112" i="2"/>
  <c r="I20" i="2"/>
  <c r="I109" i="2"/>
  <c r="I31" i="2"/>
  <c r="I150" i="2"/>
  <c r="I125" i="2"/>
  <c r="I107" i="2"/>
  <c r="I11" i="2"/>
  <c r="I128" i="2"/>
  <c r="I152" i="2"/>
  <c r="I189" i="2"/>
  <c r="I201" i="2"/>
  <c r="I115" i="2"/>
  <c r="I171" i="2"/>
  <c r="I49" i="2"/>
  <c r="I163" i="2"/>
  <c r="I75" i="2"/>
  <c r="I184" i="2"/>
  <c r="I6" i="2"/>
  <c r="I200" i="2"/>
  <c r="I190" i="2"/>
  <c r="I166" i="2"/>
  <c r="I173" i="2"/>
  <c r="I39" i="2"/>
  <c r="I174" i="2"/>
  <c r="I156" i="2"/>
  <c r="I179" i="2"/>
  <c r="I76" i="2"/>
  <c r="I151" i="2"/>
  <c r="I141" i="2"/>
  <c r="I67" i="2"/>
  <c r="I33" i="2"/>
  <c r="I145" i="2"/>
  <c r="I175" i="2"/>
  <c r="I118" i="2"/>
  <c r="I111" i="2"/>
  <c r="I15" i="2"/>
  <c r="I77" i="2"/>
  <c r="I8" i="2"/>
  <c r="I25" i="2"/>
  <c r="I199" i="2"/>
  <c r="I32" i="2"/>
  <c r="I122" i="2"/>
  <c r="I18" i="2"/>
  <c r="I157" i="2"/>
  <c r="I69" i="2"/>
  <c r="I23" i="2"/>
  <c r="I167" i="2"/>
  <c r="I172" i="2"/>
  <c r="I110" i="2"/>
  <c r="I192" i="2"/>
  <c r="I55" i="2"/>
  <c r="I7" i="2"/>
  <c r="I176" i="2"/>
  <c r="I57" i="2"/>
  <c r="I42" i="2"/>
  <c r="I142" i="2"/>
  <c r="I121" i="2"/>
  <c r="I170" i="2"/>
  <c r="I194" i="2"/>
  <c r="I164" i="2"/>
  <c r="I162" i="2"/>
  <c r="I178" i="2"/>
  <c r="I41" i="2"/>
  <c r="I140" i="2"/>
  <c r="I2" i="2"/>
  <c r="I154" i="2"/>
  <c r="I161" i="2"/>
  <c r="I120" i="2"/>
  <c r="I10" i="2"/>
  <c r="I16" i="2"/>
  <c r="I153" i="2"/>
  <c r="I89" i="2"/>
  <c r="I195" i="2"/>
  <c r="I182" i="2"/>
  <c r="I114" i="2"/>
  <c r="I95" i="2"/>
  <c r="I64" i="2"/>
  <c r="I116" i="2"/>
  <c r="I191" i="2"/>
  <c r="I139" i="2"/>
  <c r="I132" i="2"/>
  <c r="I106" i="2"/>
  <c r="I65" i="2"/>
  <c r="I165" i="2"/>
  <c r="I24" i="2"/>
  <c r="I81" i="2"/>
  <c r="I68" i="2"/>
  <c r="I48" i="2"/>
  <c r="I103" i="2"/>
  <c r="I181" i="2"/>
  <c r="I56" i="2"/>
  <c r="I5" i="2"/>
  <c r="I46" i="2"/>
  <c r="I97" i="2"/>
  <c r="I38" i="2"/>
  <c r="I124" i="2"/>
  <c r="I60" i="2"/>
  <c r="I13" i="2"/>
  <c r="I36" i="2"/>
  <c r="I70" i="2"/>
  <c r="I127" i="2"/>
  <c r="I58" i="2"/>
  <c r="I126" i="2"/>
  <c r="I144" i="2"/>
  <c r="I105" i="2"/>
  <c r="I51" i="2"/>
  <c r="I72" i="2"/>
  <c r="I21" i="2"/>
  <c r="I85" i="2"/>
  <c r="I158" i="2"/>
  <c r="I35" i="2"/>
  <c r="I197" i="2"/>
  <c r="I96" i="2"/>
  <c r="I123" i="2"/>
  <c r="I108" i="2"/>
  <c r="I98" i="2"/>
  <c r="I61" i="2"/>
  <c r="I138" i="2"/>
  <c r="I143" i="2"/>
  <c r="I160" i="2"/>
  <c r="I102" i="2"/>
  <c r="I131" i="2"/>
  <c r="I188" i="2"/>
  <c r="I34" i="2"/>
  <c r="I3" i="2"/>
  <c r="I27" i="2"/>
  <c r="I100" i="2"/>
  <c r="I44" i="2"/>
  <c r="I129" i="2"/>
  <c r="I134" i="2"/>
  <c r="I28" i="2"/>
  <c r="I146" i="2"/>
  <c r="I87" i="2"/>
  <c r="I73" i="2"/>
  <c r="I168" i="2"/>
  <c r="I80" i="2"/>
  <c r="I14" i="2"/>
  <c r="I54" i="2"/>
  <c r="I52" i="2"/>
  <c r="I71" i="2"/>
  <c r="H149" i="2"/>
  <c r="H99" i="2"/>
  <c r="H22" i="2"/>
  <c r="H88" i="2"/>
  <c r="H40" i="2"/>
  <c r="H159" i="2"/>
  <c r="H186" i="2"/>
  <c r="H50" i="2"/>
  <c r="H66" i="2"/>
  <c r="H104" i="2"/>
  <c r="H136" i="2"/>
  <c r="H47" i="2"/>
  <c r="H17" i="2"/>
  <c r="H62" i="2"/>
  <c r="H187" i="2"/>
  <c r="H137" i="2"/>
  <c r="H4" i="2"/>
  <c r="H19" i="2"/>
  <c r="H135" i="2"/>
  <c r="H92" i="2"/>
  <c r="H53" i="2"/>
  <c r="H119" i="2"/>
  <c r="H12" i="2"/>
  <c r="H29" i="2"/>
  <c r="H177" i="2"/>
  <c r="H183" i="2"/>
  <c r="H83" i="2"/>
  <c r="H196" i="2"/>
  <c r="H9" i="2"/>
  <c r="H130" i="2"/>
  <c r="H74" i="2"/>
  <c r="H82" i="2"/>
  <c r="H26" i="2"/>
  <c r="H180" i="2"/>
  <c r="H90" i="2"/>
  <c r="H94" i="2"/>
  <c r="H78" i="2"/>
  <c r="H169" i="2"/>
  <c r="H113" i="2"/>
  <c r="H117" i="2"/>
  <c r="H84" i="2"/>
  <c r="H185" i="2"/>
  <c r="H147" i="2"/>
  <c r="H43" i="2"/>
  <c r="H133" i="2"/>
  <c r="H155" i="2"/>
  <c r="H37" i="2"/>
  <c r="H93" i="2"/>
  <c r="H148" i="2"/>
  <c r="H91" i="2"/>
  <c r="H101" i="2"/>
  <c r="H198" i="2"/>
  <c r="H59" i="2"/>
  <c r="H86" i="2"/>
  <c r="H30" i="2"/>
  <c r="H63" i="2"/>
  <c r="H45" i="2"/>
  <c r="H193" i="2"/>
  <c r="H79" i="2"/>
  <c r="H112" i="2"/>
  <c r="H20" i="2"/>
  <c r="H109" i="2"/>
  <c r="H31" i="2"/>
  <c r="H150" i="2"/>
  <c r="H125" i="2"/>
  <c r="H107" i="2"/>
  <c r="H11" i="2"/>
  <c r="H128" i="2"/>
  <c r="H152" i="2"/>
  <c r="H189" i="2"/>
  <c r="H201" i="2"/>
  <c r="H115" i="2"/>
  <c r="H171" i="2"/>
  <c r="H49" i="2"/>
  <c r="H163" i="2"/>
  <c r="H75" i="2"/>
  <c r="H184" i="2"/>
  <c r="H6" i="2"/>
  <c r="H200" i="2"/>
  <c r="H190" i="2"/>
  <c r="H166" i="2"/>
  <c r="H173" i="2"/>
  <c r="H39" i="2"/>
  <c r="H174" i="2"/>
  <c r="H156" i="2"/>
  <c r="H179" i="2"/>
  <c r="H76" i="2"/>
  <c r="H151" i="2"/>
  <c r="H141" i="2"/>
  <c r="H67" i="2"/>
  <c r="H33" i="2"/>
  <c r="H145" i="2"/>
  <c r="H175" i="2"/>
  <c r="H118" i="2"/>
  <c r="H111" i="2"/>
  <c r="H15" i="2"/>
  <c r="H77" i="2"/>
  <c r="H8" i="2"/>
  <c r="H25" i="2"/>
  <c r="H199" i="2"/>
  <c r="H32" i="2"/>
  <c r="H122" i="2"/>
  <c r="H18" i="2"/>
  <c r="H157" i="2"/>
  <c r="H69" i="2"/>
  <c r="H23" i="2"/>
  <c r="H167" i="2"/>
  <c r="H172" i="2"/>
  <c r="H110" i="2"/>
  <c r="H192" i="2"/>
  <c r="H55" i="2"/>
  <c r="H7" i="2"/>
  <c r="H176" i="2"/>
  <c r="H57" i="2"/>
  <c r="H42" i="2"/>
  <c r="H142" i="2"/>
  <c r="H121" i="2"/>
  <c r="H170" i="2"/>
  <c r="H194" i="2"/>
  <c r="H164" i="2"/>
  <c r="H162" i="2"/>
  <c r="H178" i="2"/>
  <c r="H41" i="2"/>
  <c r="H140" i="2"/>
  <c r="H2" i="2"/>
  <c r="H154" i="2"/>
  <c r="H161" i="2"/>
  <c r="H120" i="2"/>
  <c r="H10" i="2"/>
  <c r="H16" i="2"/>
  <c r="H153" i="2"/>
  <c r="H89" i="2"/>
  <c r="H195" i="2"/>
  <c r="H182" i="2"/>
  <c r="H114" i="2"/>
  <c r="H95" i="2"/>
  <c r="H64" i="2"/>
  <c r="H116" i="2"/>
  <c r="H191" i="2"/>
  <c r="H139" i="2"/>
  <c r="H132" i="2"/>
  <c r="H106" i="2"/>
  <c r="H65" i="2"/>
  <c r="H165" i="2"/>
  <c r="H24" i="2"/>
  <c r="H81" i="2"/>
  <c r="H68" i="2"/>
  <c r="H48" i="2"/>
  <c r="H103" i="2"/>
  <c r="H181" i="2"/>
  <c r="H56" i="2"/>
  <c r="H5" i="2"/>
  <c r="H46" i="2"/>
  <c r="H97" i="2"/>
  <c r="H38" i="2"/>
  <c r="H124" i="2"/>
  <c r="H60" i="2"/>
  <c r="H13" i="2"/>
  <c r="H36" i="2"/>
  <c r="H70" i="2"/>
  <c r="H127" i="2"/>
  <c r="H58" i="2"/>
  <c r="H126" i="2"/>
  <c r="H144" i="2"/>
  <c r="H105" i="2"/>
  <c r="H51" i="2"/>
  <c r="H72" i="2"/>
  <c r="H21" i="2"/>
  <c r="H85" i="2"/>
  <c r="H158" i="2"/>
  <c r="H35" i="2"/>
  <c r="H197" i="2"/>
  <c r="H96" i="2"/>
  <c r="H123" i="2"/>
  <c r="H108" i="2"/>
  <c r="H98" i="2"/>
  <c r="H61" i="2"/>
  <c r="H138" i="2"/>
  <c r="H143" i="2"/>
  <c r="H160" i="2"/>
  <c r="H102" i="2"/>
  <c r="H131" i="2"/>
  <c r="H188" i="2"/>
  <c r="H34" i="2"/>
  <c r="H3" i="2"/>
  <c r="H27" i="2"/>
  <c r="H100" i="2"/>
  <c r="H44" i="2"/>
  <c r="H129" i="2"/>
  <c r="H134" i="2"/>
  <c r="H28" i="2"/>
  <c r="H146" i="2"/>
  <c r="H87" i="2"/>
  <c r="H73" i="2"/>
  <c r="H168" i="2"/>
  <c r="H80" i="2"/>
  <c r="H14" i="2"/>
  <c r="H54" i="2"/>
  <c r="H52" i="2"/>
  <c r="H71" i="2"/>
  <c r="G149" i="2"/>
  <c r="G99" i="2"/>
  <c r="G22" i="2"/>
  <c r="G88" i="2"/>
  <c r="G40" i="2"/>
  <c r="G159" i="2"/>
  <c r="G186" i="2"/>
  <c r="G50" i="2"/>
  <c r="G66" i="2"/>
  <c r="G104" i="2"/>
  <c r="G136" i="2"/>
  <c r="G47" i="2"/>
  <c r="G17" i="2"/>
  <c r="G62" i="2"/>
  <c r="G187" i="2"/>
  <c r="G137" i="2"/>
  <c r="G4" i="2"/>
  <c r="G19" i="2"/>
  <c r="G135" i="2"/>
  <c r="G92" i="2"/>
  <c r="G53" i="2"/>
  <c r="G119" i="2"/>
  <c r="G12" i="2"/>
  <c r="G29" i="2"/>
  <c r="G177" i="2"/>
  <c r="G183" i="2"/>
  <c r="G83" i="2"/>
  <c r="G196" i="2"/>
  <c r="G9" i="2"/>
  <c r="G130" i="2"/>
  <c r="G74" i="2"/>
  <c r="G82" i="2"/>
  <c r="G26" i="2"/>
  <c r="G180" i="2"/>
  <c r="G90" i="2"/>
  <c r="G94" i="2"/>
  <c r="G78" i="2"/>
  <c r="G169" i="2"/>
  <c r="G113" i="2"/>
  <c r="G117" i="2"/>
  <c r="G84" i="2"/>
  <c r="G185" i="2"/>
  <c r="G147" i="2"/>
  <c r="G43" i="2"/>
  <c r="G133" i="2"/>
  <c r="G155" i="2"/>
  <c r="G37" i="2"/>
  <c r="G93" i="2"/>
  <c r="G148" i="2"/>
  <c r="G91" i="2"/>
  <c r="G101" i="2"/>
  <c r="G198" i="2"/>
  <c r="G59" i="2"/>
  <c r="G86" i="2"/>
  <c r="G30" i="2"/>
  <c r="G63" i="2"/>
  <c r="G45" i="2"/>
  <c r="G193" i="2"/>
  <c r="G79" i="2"/>
  <c r="G112" i="2"/>
  <c r="G20" i="2"/>
  <c r="G109" i="2"/>
  <c r="G31" i="2"/>
  <c r="G150" i="2"/>
  <c r="G125" i="2"/>
  <c r="G107" i="2"/>
  <c r="G11" i="2"/>
  <c r="G128" i="2"/>
  <c r="G152" i="2"/>
  <c r="G189" i="2"/>
  <c r="G201" i="2"/>
  <c r="G115" i="2"/>
  <c r="G171" i="2"/>
  <c r="G49" i="2"/>
  <c r="G163" i="2"/>
  <c r="G75" i="2"/>
  <c r="G184" i="2"/>
  <c r="G6" i="2"/>
  <c r="G200" i="2"/>
  <c r="G190" i="2"/>
  <c r="G166" i="2"/>
  <c r="G173" i="2"/>
  <c r="G39" i="2"/>
  <c r="G174" i="2"/>
  <c r="G156" i="2"/>
  <c r="G179" i="2"/>
  <c r="G76" i="2"/>
  <c r="G151" i="2"/>
  <c r="G141" i="2"/>
  <c r="G67" i="2"/>
  <c r="G33" i="2"/>
  <c r="G145" i="2"/>
  <c r="G175" i="2"/>
  <c r="G118" i="2"/>
  <c r="G111" i="2"/>
  <c r="G15" i="2"/>
  <c r="G77" i="2"/>
  <c r="G8" i="2"/>
  <c r="G25" i="2"/>
  <c r="G199" i="2"/>
  <c r="G32" i="2"/>
  <c r="G122" i="2"/>
  <c r="G18" i="2"/>
  <c r="G157" i="2"/>
  <c r="G69" i="2"/>
  <c r="G23" i="2"/>
  <c r="G167" i="2"/>
  <c r="G172" i="2"/>
  <c r="G110" i="2"/>
  <c r="G192" i="2"/>
  <c r="G55" i="2"/>
  <c r="G7" i="2"/>
  <c r="G176" i="2"/>
  <c r="G57" i="2"/>
  <c r="G42" i="2"/>
  <c r="G142" i="2"/>
  <c r="G121" i="2"/>
  <c r="G170" i="2"/>
  <c r="G194" i="2"/>
  <c r="G164" i="2"/>
  <c r="G162" i="2"/>
  <c r="G178" i="2"/>
  <c r="G41" i="2"/>
  <c r="G140" i="2"/>
  <c r="G2" i="2"/>
  <c r="G154" i="2"/>
  <c r="G161" i="2"/>
  <c r="G120" i="2"/>
  <c r="G10" i="2"/>
  <c r="G16" i="2"/>
  <c r="G153" i="2"/>
  <c r="G89" i="2"/>
  <c r="G195" i="2"/>
  <c r="G182" i="2"/>
  <c r="G114" i="2"/>
  <c r="G95" i="2"/>
  <c r="G64" i="2"/>
  <c r="G116" i="2"/>
  <c r="G191" i="2"/>
  <c r="G139" i="2"/>
  <c r="G132" i="2"/>
  <c r="G106" i="2"/>
  <c r="G65" i="2"/>
  <c r="G165" i="2"/>
  <c r="G24" i="2"/>
  <c r="G81" i="2"/>
  <c r="G68" i="2"/>
  <c r="G48" i="2"/>
  <c r="G103" i="2"/>
  <c r="G181" i="2"/>
  <c r="G56" i="2"/>
  <c r="G5" i="2"/>
  <c r="G46" i="2"/>
  <c r="G97" i="2"/>
  <c r="G38" i="2"/>
  <c r="G124" i="2"/>
  <c r="G60" i="2"/>
  <c r="G13" i="2"/>
  <c r="G36" i="2"/>
  <c r="G70" i="2"/>
  <c r="G127" i="2"/>
  <c r="G58" i="2"/>
  <c r="G126" i="2"/>
  <c r="G144" i="2"/>
  <c r="G105" i="2"/>
  <c r="G51" i="2"/>
  <c r="G72" i="2"/>
  <c r="G21" i="2"/>
  <c r="G85" i="2"/>
  <c r="G158" i="2"/>
  <c r="G35" i="2"/>
  <c r="G197" i="2"/>
  <c r="G96" i="2"/>
  <c r="G123" i="2"/>
  <c r="G108" i="2"/>
  <c r="G98" i="2"/>
  <c r="G61" i="2"/>
  <c r="G138" i="2"/>
  <c r="G143" i="2"/>
  <c r="G160" i="2"/>
  <c r="G102" i="2"/>
  <c r="G131" i="2"/>
  <c r="G188" i="2"/>
  <c r="G34" i="2"/>
  <c r="G3" i="2"/>
  <c r="G27" i="2"/>
  <c r="G100" i="2"/>
  <c r="G44" i="2"/>
  <c r="G129" i="2"/>
  <c r="G134" i="2"/>
  <c r="G28" i="2"/>
  <c r="G146" i="2"/>
  <c r="G87" i="2"/>
  <c r="G73" i="2"/>
  <c r="G168" i="2"/>
  <c r="G80" i="2"/>
  <c r="G14" i="2"/>
  <c r="G54" i="2"/>
  <c r="G52" i="2"/>
  <c r="G71" i="2"/>
  <c r="N239" i="1"/>
  <c r="N287" i="1"/>
  <c r="N61" i="1"/>
  <c r="N310" i="1"/>
  <c r="N323" i="1"/>
  <c r="N81" i="1"/>
  <c r="N232" i="1"/>
  <c r="N308" i="1"/>
  <c r="N185" i="1"/>
  <c r="N125" i="1"/>
  <c r="N386" i="1"/>
  <c r="N328" i="1"/>
  <c r="N449" i="1"/>
  <c r="N136" i="1"/>
  <c r="N289" i="1"/>
  <c r="N142" i="1"/>
  <c r="N398" i="1"/>
  <c r="N243" i="1"/>
  <c r="N401" i="1"/>
  <c r="N128" i="1"/>
  <c r="N218" i="1"/>
  <c r="N231" i="1"/>
  <c r="N316" i="1"/>
  <c r="N441" i="1"/>
  <c r="N345" i="1"/>
  <c r="N462" i="1"/>
  <c r="N249" i="1"/>
  <c r="N432" i="1"/>
  <c r="N69" i="1"/>
  <c r="N475" i="1"/>
  <c r="N267" i="1"/>
  <c r="N489" i="1"/>
  <c r="N135" i="1"/>
  <c r="N302" i="1"/>
  <c r="N236" i="1"/>
  <c r="N11" i="1"/>
  <c r="N339" i="1"/>
  <c r="N472" i="1"/>
  <c r="N172" i="1"/>
  <c r="N370" i="1"/>
  <c r="N12" i="1"/>
  <c r="N73" i="1"/>
  <c r="N98" i="1"/>
  <c r="N147" i="1"/>
  <c r="N317" i="1"/>
  <c r="N10" i="1"/>
  <c r="N403" i="1"/>
  <c r="N411" i="1"/>
  <c r="N188" i="1"/>
  <c r="N184" i="1"/>
  <c r="N154" i="1"/>
  <c r="N134" i="1"/>
  <c r="N333" i="1"/>
  <c r="N456" i="1"/>
  <c r="N348" i="1"/>
  <c r="N50" i="1"/>
  <c r="N30" i="1"/>
  <c r="N109" i="1"/>
  <c r="N481" i="1"/>
  <c r="N166" i="1"/>
  <c r="N454" i="1"/>
  <c r="N85" i="1"/>
  <c r="N21" i="1"/>
  <c r="N364" i="1"/>
  <c r="N326" i="1"/>
  <c r="N447" i="1"/>
  <c r="N222" i="1"/>
  <c r="N189" i="1"/>
  <c r="N209" i="1"/>
  <c r="N33" i="1"/>
  <c r="N164" i="1"/>
  <c r="N182" i="1"/>
  <c r="N137" i="1"/>
  <c r="N490" i="1"/>
  <c r="N466" i="1"/>
  <c r="N298" i="1"/>
  <c r="N399" i="1"/>
  <c r="N117" i="1"/>
  <c r="N44" i="1"/>
  <c r="N214" i="1"/>
  <c r="N9" i="1"/>
  <c r="N405" i="1"/>
  <c r="N491" i="1"/>
  <c r="N340" i="1"/>
  <c r="N58" i="1"/>
  <c r="N119" i="1"/>
  <c r="N111" i="1"/>
  <c r="N327" i="1"/>
  <c r="N307" i="1"/>
  <c r="N395" i="1"/>
  <c r="N253" i="1"/>
  <c r="N378" i="1"/>
  <c r="N174" i="1"/>
  <c r="N397" i="1"/>
  <c r="N38" i="1"/>
  <c r="N219" i="1"/>
  <c r="N39" i="1"/>
  <c r="N258" i="1"/>
  <c r="N223" i="1"/>
  <c r="N281" i="1"/>
  <c r="N374" i="1"/>
  <c r="N6" i="1"/>
  <c r="N153" i="1"/>
  <c r="N376" i="1"/>
  <c r="N90" i="1"/>
  <c r="N210" i="1"/>
  <c r="N404" i="1"/>
  <c r="N187" i="1"/>
  <c r="N494" i="1"/>
  <c r="N181" i="1"/>
  <c r="N160" i="1"/>
  <c r="N363" i="1"/>
  <c r="N390" i="1"/>
  <c r="N247" i="1"/>
  <c r="N499" i="1"/>
  <c r="N241" i="1"/>
  <c r="N391" i="1"/>
  <c r="N443" i="1"/>
  <c r="N42" i="1"/>
  <c r="N498" i="1"/>
  <c r="N421" i="1"/>
  <c r="N278" i="1"/>
  <c r="N99" i="1"/>
  <c r="N479" i="1"/>
  <c r="N260" i="1"/>
  <c r="N463" i="1"/>
  <c r="N75" i="1"/>
  <c r="N486" i="1"/>
  <c r="N377" i="1"/>
  <c r="N64" i="1"/>
  <c r="N476" i="1"/>
  <c r="N220" i="1"/>
  <c r="N358" i="1"/>
  <c r="N27" i="1"/>
  <c r="N123" i="1"/>
  <c r="N467" i="1"/>
  <c r="N2" i="1"/>
  <c r="N429" i="1"/>
  <c r="N417" i="1"/>
  <c r="N62" i="1"/>
  <c r="N121" i="1"/>
  <c r="N446" i="1"/>
  <c r="N460" i="1"/>
  <c r="N178" i="1"/>
  <c r="N93" i="1"/>
  <c r="N15" i="1"/>
  <c r="N104" i="1"/>
  <c r="N113" i="1"/>
  <c r="N183" i="1"/>
  <c r="N353" i="1"/>
  <c r="N368" i="1"/>
  <c r="N262" i="1"/>
  <c r="N224" i="1"/>
  <c r="N274" i="1"/>
  <c r="N277" i="1"/>
  <c r="N357" i="1"/>
  <c r="N63" i="1"/>
  <c r="N198" i="1"/>
  <c r="N418" i="1"/>
  <c r="N343" i="1"/>
  <c r="N228" i="1"/>
  <c r="N79" i="1"/>
  <c r="N436" i="1"/>
  <c r="N122" i="1"/>
  <c r="N233" i="1"/>
  <c r="N146" i="1"/>
  <c r="N346" i="1"/>
  <c r="N293" i="1"/>
  <c r="N126" i="1"/>
  <c r="N24" i="1"/>
  <c r="N5" i="1"/>
  <c r="N14" i="1"/>
  <c r="N72" i="1"/>
  <c r="N356" i="1"/>
  <c r="N167" i="1"/>
  <c r="N226" i="1"/>
  <c r="N196" i="1"/>
  <c r="N331" i="1"/>
  <c r="N170" i="1"/>
  <c r="N408" i="1"/>
  <c r="N4" i="1"/>
  <c r="N483" i="1"/>
  <c r="N120" i="1"/>
  <c r="N385" i="1"/>
  <c r="N367" i="1"/>
  <c r="N91" i="1"/>
  <c r="N115" i="1"/>
  <c r="N265" i="1"/>
  <c r="N318" i="1"/>
  <c r="N190" i="1"/>
  <c r="N52" i="1"/>
  <c r="N254" i="1"/>
  <c r="N163" i="1"/>
  <c r="N186" i="1"/>
  <c r="N176" i="1"/>
  <c r="N341" i="1"/>
  <c r="N46" i="1"/>
  <c r="N329" i="1"/>
  <c r="N230" i="1"/>
  <c r="N459" i="1"/>
  <c r="N144" i="1"/>
  <c r="N471" i="1"/>
  <c r="N110" i="1"/>
  <c r="N250" i="1"/>
  <c r="N23" i="1"/>
  <c r="N465" i="1"/>
  <c r="N124" i="1"/>
  <c r="N295" i="1"/>
  <c r="N276" i="1"/>
  <c r="N53" i="1"/>
  <c r="N477" i="1"/>
  <c r="N141" i="1"/>
  <c r="N270" i="1"/>
  <c r="N129" i="1"/>
  <c r="N473" i="1"/>
  <c r="N457" i="1"/>
  <c r="N70" i="1"/>
  <c r="N140" i="1"/>
  <c r="N217" i="1"/>
  <c r="N95" i="1"/>
  <c r="N118" i="1"/>
  <c r="N344" i="1"/>
  <c r="N148" i="1"/>
  <c r="N485" i="1"/>
  <c r="N207" i="1"/>
  <c r="N51" i="1"/>
  <c r="N330" i="1"/>
  <c r="N194" i="1"/>
  <c r="N440" i="1"/>
  <c r="N132" i="1"/>
  <c r="N235" i="1"/>
  <c r="N464" i="1"/>
  <c r="N248" i="1"/>
  <c r="N393" i="1"/>
  <c r="N212" i="1"/>
  <c r="N379" i="1"/>
  <c r="N168" i="1"/>
  <c r="N206" i="1"/>
  <c r="N199" i="1"/>
  <c r="N496" i="1"/>
  <c r="N203" i="1"/>
  <c r="N82" i="1"/>
  <c r="N351" i="1"/>
  <c r="N280" i="1"/>
  <c r="N77" i="1"/>
  <c r="N409" i="1"/>
  <c r="N34" i="1"/>
  <c r="N97" i="1"/>
  <c r="N67" i="1"/>
  <c r="N28" i="1"/>
  <c r="N240" i="1"/>
  <c r="N325" i="1"/>
  <c r="N238" i="1"/>
  <c r="N200" i="1"/>
  <c r="N375" i="1"/>
  <c r="N177" i="1"/>
  <c r="N412" i="1"/>
  <c r="N201" i="1"/>
  <c r="N305" i="1"/>
  <c r="N279" i="1"/>
  <c r="N150" i="1"/>
  <c r="N114" i="1"/>
  <c r="N105" i="1"/>
  <c r="N18" i="1"/>
  <c r="N284" i="1"/>
  <c r="N36" i="1"/>
  <c r="N495" i="1"/>
  <c r="N16" i="1"/>
  <c r="N89" i="1"/>
  <c r="N444" i="1"/>
  <c r="N195" i="1"/>
  <c r="N245" i="1"/>
  <c r="N251" i="1"/>
  <c r="N149" i="1"/>
  <c r="N487" i="1"/>
  <c r="N83" i="1"/>
  <c r="N158" i="1"/>
  <c r="N501" i="1"/>
  <c r="N234" i="1"/>
  <c r="N244" i="1"/>
  <c r="N106" i="1"/>
  <c r="N179" i="1"/>
  <c r="N371" i="1"/>
  <c r="N312" i="1"/>
  <c r="N171" i="1"/>
  <c r="N264" i="1"/>
  <c r="N102" i="1"/>
  <c r="N439" i="1"/>
  <c r="N315" i="1"/>
  <c r="N488" i="1"/>
  <c r="N273" i="1"/>
  <c r="N25" i="1"/>
  <c r="N78" i="1"/>
  <c r="N159" i="1"/>
  <c r="N451" i="1"/>
  <c r="N406" i="1"/>
  <c r="N127" i="1"/>
  <c r="N204" i="1"/>
  <c r="N291" i="1"/>
  <c r="N145" i="1"/>
  <c r="N31" i="1"/>
  <c r="N26" i="1"/>
  <c r="N360" i="1"/>
  <c r="N482" i="1"/>
  <c r="N87" i="1"/>
  <c r="N225" i="1"/>
  <c r="N480" i="1"/>
  <c r="N288" i="1"/>
  <c r="N426" i="1"/>
  <c r="N402" i="1"/>
  <c r="N155" i="1"/>
  <c r="N246" i="1"/>
  <c r="N66" i="1"/>
  <c r="N415" i="1"/>
  <c r="N193" i="1"/>
  <c r="N151" i="1"/>
  <c r="N161" i="1"/>
  <c r="N309" i="1"/>
  <c r="N92" i="1"/>
  <c r="N352" i="1"/>
  <c r="N156" i="1"/>
  <c r="N282" i="1"/>
  <c r="N366" i="1"/>
  <c r="N139" i="1"/>
  <c r="N424" i="1"/>
  <c r="N319" i="1"/>
  <c r="N100" i="1"/>
  <c r="N213" i="1"/>
  <c r="N20" i="1"/>
  <c r="N60" i="1"/>
  <c r="N192" i="1"/>
  <c r="N394" i="1"/>
  <c r="N8" i="1"/>
  <c r="N269" i="1"/>
  <c r="N303" i="1"/>
  <c r="N41" i="1"/>
  <c r="N13" i="1"/>
  <c r="N268" i="1"/>
  <c r="N372" i="1"/>
  <c r="N116" i="1"/>
  <c r="N76" i="1"/>
  <c r="N362" i="1"/>
  <c r="N22" i="1"/>
  <c r="N256" i="1"/>
  <c r="N380" i="1"/>
  <c r="N48" i="1"/>
  <c r="N84" i="1"/>
  <c r="N438" i="1"/>
  <c r="N173" i="1"/>
  <c r="N229" i="1"/>
  <c r="N237" i="1"/>
  <c r="N492" i="1"/>
  <c r="N252" i="1"/>
  <c r="N215" i="1"/>
  <c r="N103" i="1"/>
  <c r="N434" i="1"/>
  <c r="N384" i="1"/>
  <c r="N419" i="1"/>
  <c r="N458" i="1"/>
  <c r="N365" i="1"/>
  <c r="N88" i="1"/>
  <c r="N32" i="1"/>
  <c r="N416" i="1"/>
  <c r="N211" i="1"/>
  <c r="N96" i="1"/>
  <c r="N332" i="1"/>
  <c r="N442" i="1"/>
  <c r="N469" i="1"/>
  <c r="N47" i="1"/>
  <c r="N296" i="1"/>
  <c r="N301" i="1"/>
  <c r="N452" i="1"/>
  <c r="N266" i="1"/>
  <c r="N448" i="1"/>
  <c r="N227" i="1"/>
  <c r="N17" i="1"/>
  <c r="N478" i="1"/>
  <c r="N55" i="1"/>
  <c r="N221" i="1"/>
  <c r="N392" i="1"/>
  <c r="N108" i="1"/>
  <c r="N294" i="1"/>
  <c r="N143" i="1"/>
  <c r="N175" i="1"/>
  <c r="N169" i="1"/>
  <c r="N493" i="1"/>
  <c r="N337" i="1"/>
  <c r="N275" i="1"/>
  <c r="N57" i="1"/>
  <c r="N389" i="1"/>
  <c r="N361" i="1"/>
  <c r="N453" i="1"/>
  <c r="N369" i="1"/>
  <c r="N455" i="1"/>
  <c r="N320" i="1"/>
  <c r="N35" i="1"/>
  <c r="N208" i="1"/>
  <c r="N216" i="1"/>
  <c r="N334" i="1"/>
  <c r="N425" i="1"/>
  <c r="N29" i="1"/>
  <c r="N321" i="1"/>
  <c r="N45" i="1"/>
  <c r="N283" i="1"/>
  <c r="N101" i="1"/>
  <c r="N422" i="1"/>
  <c r="N484" i="1"/>
  <c r="N3" i="1"/>
  <c r="N130" i="1"/>
  <c r="N420" i="1"/>
  <c r="N324" i="1"/>
  <c r="N342" i="1"/>
  <c r="N80" i="1"/>
  <c r="N430" i="1"/>
  <c r="N297" i="1"/>
  <c r="N396" i="1"/>
  <c r="N65" i="1"/>
  <c r="N131" i="1"/>
  <c r="N157" i="1"/>
  <c r="N387" i="1"/>
  <c r="N197" i="1"/>
  <c r="N71" i="1"/>
  <c r="N410" i="1"/>
  <c r="N335" i="1"/>
  <c r="N49" i="1"/>
  <c r="N388" i="1"/>
  <c r="N263" i="1"/>
  <c r="N37" i="1"/>
  <c r="N259" i="1"/>
  <c r="N427" i="1"/>
  <c r="N359" i="1"/>
  <c r="N68" i="1"/>
  <c r="N437" i="1"/>
  <c r="N381" i="1"/>
  <c r="N500" i="1"/>
  <c r="N468" i="1"/>
  <c r="N383" i="1"/>
  <c r="N300" i="1"/>
  <c r="N474" i="1"/>
  <c r="N354" i="1"/>
  <c r="N350" i="1"/>
  <c r="N461" i="1"/>
  <c r="N470" i="1"/>
  <c r="N497" i="1"/>
  <c r="N271" i="1"/>
  <c r="N180" i="1"/>
  <c r="N336" i="1"/>
  <c r="N355" i="1"/>
  <c r="N59" i="1"/>
  <c r="N86" i="1"/>
  <c r="N435" i="1"/>
  <c r="N338" i="1"/>
  <c r="N400" i="1"/>
  <c r="N347" i="1"/>
  <c r="N306" i="1"/>
  <c r="N255" i="1"/>
  <c r="N407" i="1"/>
  <c r="N138" i="1"/>
  <c r="N286" i="1"/>
  <c r="N272" i="1"/>
  <c r="N423" i="1"/>
  <c r="N299" i="1"/>
  <c r="N54" i="1"/>
  <c r="N445" i="1"/>
  <c r="N414" i="1"/>
  <c r="N205" i="1"/>
  <c r="N314" i="1"/>
  <c r="N7" i="1"/>
  <c r="N112" i="1"/>
  <c r="N431" i="1"/>
  <c r="N202" i="1"/>
  <c r="N162" i="1"/>
  <c r="N373" i="1"/>
  <c r="N433" i="1"/>
  <c r="N450" i="1"/>
  <c r="N152" i="1"/>
  <c r="N40" i="1"/>
  <c r="N304" i="1"/>
  <c r="N261" i="1"/>
  <c r="N191" i="1"/>
  <c r="N290" i="1"/>
  <c r="N242" i="1"/>
  <c r="N165" i="1"/>
  <c r="N413" i="1"/>
  <c r="N94" i="1"/>
  <c r="N322" i="1"/>
  <c r="N19" i="1"/>
  <c r="N382" i="1"/>
  <c r="N285" i="1"/>
  <c r="N43" i="1"/>
  <c r="N349" i="1"/>
  <c r="N313" i="1"/>
  <c r="N107" i="1"/>
  <c r="N257" i="1"/>
  <c r="N56" i="1"/>
  <c r="N311" i="1"/>
  <c r="N74" i="1"/>
  <c r="N292" i="1"/>
  <c r="N428" i="1"/>
  <c r="N133" i="1"/>
  <c r="M239" i="1"/>
  <c r="M287" i="1"/>
  <c r="M61" i="1"/>
  <c r="M310" i="1"/>
  <c r="M323" i="1"/>
  <c r="M81" i="1"/>
  <c r="M232" i="1"/>
  <c r="M308" i="1"/>
  <c r="M185" i="1"/>
  <c r="M125" i="1"/>
  <c r="M386" i="1"/>
  <c r="M328" i="1"/>
  <c r="M449" i="1"/>
  <c r="M136" i="1"/>
  <c r="M289" i="1"/>
  <c r="M142" i="1"/>
  <c r="M398" i="1"/>
  <c r="M243" i="1"/>
  <c r="M401" i="1"/>
  <c r="M128" i="1"/>
  <c r="M218" i="1"/>
  <c r="M231" i="1"/>
  <c r="M316" i="1"/>
  <c r="M441" i="1"/>
  <c r="M345" i="1"/>
  <c r="M462" i="1"/>
  <c r="M249" i="1"/>
  <c r="M432" i="1"/>
  <c r="M69" i="1"/>
  <c r="M475" i="1"/>
  <c r="M267" i="1"/>
  <c r="M489" i="1"/>
  <c r="M135" i="1"/>
  <c r="M302" i="1"/>
  <c r="M236" i="1"/>
  <c r="M11" i="1"/>
  <c r="M339" i="1"/>
  <c r="M472" i="1"/>
  <c r="M172" i="1"/>
  <c r="M370" i="1"/>
  <c r="M12" i="1"/>
  <c r="M73" i="1"/>
  <c r="M98" i="1"/>
  <c r="M147" i="1"/>
  <c r="M317" i="1"/>
  <c r="M10" i="1"/>
  <c r="M403" i="1"/>
  <c r="M411" i="1"/>
  <c r="M188" i="1"/>
  <c r="M184" i="1"/>
  <c r="M154" i="1"/>
  <c r="M134" i="1"/>
  <c r="M333" i="1"/>
  <c r="M456" i="1"/>
  <c r="M348" i="1"/>
  <c r="M50" i="1"/>
  <c r="M30" i="1"/>
  <c r="M109" i="1"/>
  <c r="M481" i="1"/>
  <c r="M166" i="1"/>
  <c r="M454" i="1"/>
  <c r="M85" i="1"/>
  <c r="M21" i="1"/>
  <c r="M364" i="1"/>
  <c r="M326" i="1"/>
  <c r="M447" i="1"/>
  <c r="M222" i="1"/>
  <c r="M189" i="1"/>
  <c r="M209" i="1"/>
  <c r="M33" i="1"/>
  <c r="M164" i="1"/>
  <c r="M182" i="1"/>
  <c r="M137" i="1"/>
  <c r="M490" i="1"/>
  <c r="M466" i="1"/>
  <c r="M298" i="1"/>
  <c r="M399" i="1"/>
  <c r="M117" i="1"/>
  <c r="M44" i="1"/>
  <c r="M214" i="1"/>
  <c r="M9" i="1"/>
  <c r="M405" i="1"/>
  <c r="M491" i="1"/>
  <c r="M340" i="1"/>
  <c r="M58" i="1"/>
  <c r="M119" i="1"/>
  <c r="M111" i="1"/>
  <c r="M327" i="1"/>
  <c r="M307" i="1"/>
  <c r="M395" i="1"/>
  <c r="M253" i="1"/>
  <c r="M378" i="1"/>
  <c r="M174" i="1"/>
  <c r="M397" i="1"/>
  <c r="M38" i="1"/>
  <c r="M219" i="1"/>
  <c r="M39" i="1"/>
  <c r="M258" i="1"/>
  <c r="M223" i="1"/>
  <c r="M281" i="1"/>
  <c r="M374" i="1"/>
  <c r="M6" i="1"/>
  <c r="M153" i="1"/>
  <c r="M376" i="1"/>
  <c r="M90" i="1"/>
  <c r="M210" i="1"/>
  <c r="M404" i="1"/>
  <c r="M187" i="1"/>
  <c r="M494" i="1"/>
  <c r="M181" i="1"/>
  <c r="M160" i="1"/>
  <c r="M363" i="1"/>
  <c r="M390" i="1"/>
  <c r="M247" i="1"/>
  <c r="M499" i="1"/>
  <c r="M241" i="1"/>
  <c r="M391" i="1"/>
  <c r="M443" i="1"/>
  <c r="M42" i="1"/>
  <c r="M498" i="1"/>
  <c r="M421" i="1"/>
  <c r="M278" i="1"/>
  <c r="M99" i="1"/>
  <c r="M479" i="1"/>
  <c r="M260" i="1"/>
  <c r="M463" i="1"/>
  <c r="M75" i="1"/>
  <c r="M486" i="1"/>
  <c r="M377" i="1"/>
  <c r="M64" i="1"/>
  <c r="M476" i="1"/>
  <c r="M220" i="1"/>
  <c r="M358" i="1"/>
  <c r="M27" i="1"/>
  <c r="M123" i="1"/>
  <c r="M467" i="1"/>
  <c r="M2" i="1"/>
  <c r="M429" i="1"/>
  <c r="M417" i="1"/>
  <c r="M62" i="1"/>
  <c r="M121" i="1"/>
  <c r="M446" i="1"/>
  <c r="M460" i="1"/>
  <c r="M178" i="1"/>
  <c r="M93" i="1"/>
  <c r="M15" i="1"/>
  <c r="M104" i="1"/>
  <c r="M113" i="1"/>
  <c r="M183" i="1"/>
  <c r="M353" i="1"/>
  <c r="M368" i="1"/>
  <c r="M262" i="1"/>
  <c r="M224" i="1"/>
  <c r="M274" i="1"/>
  <c r="M277" i="1"/>
  <c r="M357" i="1"/>
  <c r="M63" i="1"/>
  <c r="M198" i="1"/>
  <c r="M418" i="1"/>
  <c r="M343" i="1"/>
  <c r="M228" i="1"/>
  <c r="M79" i="1"/>
  <c r="M436" i="1"/>
  <c r="M122" i="1"/>
  <c r="M233" i="1"/>
  <c r="M146" i="1"/>
  <c r="M346" i="1"/>
  <c r="M293" i="1"/>
  <c r="M126" i="1"/>
  <c r="M24" i="1"/>
  <c r="M5" i="1"/>
  <c r="M14" i="1"/>
  <c r="M72" i="1"/>
  <c r="M356" i="1"/>
  <c r="M167" i="1"/>
  <c r="M226" i="1"/>
  <c r="M196" i="1"/>
  <c r="M331" i="1"/>
  <c r="M170" i="1"/>
  <c r="M408" i="1"/>
  <c r="M4" i="1"/>
  <c r="M483" i="1"/>
  <c r="M120" i="1"/>
  <c r="M385" i="1"/>
  <c r="M367" i="1"/>
  <c r="M91" i="1"/>
  <c r="M115" i="1"/>
  <c r="M265" i="1"/>
  <c r="M318" i="1"/>
  <c r="M190" i="1"/>
  <c r="M52" i="1"/>
  <c r="M254" i="1"/>
  <c r="M163" i="1"/>
  <c r="M186" i="1"/>
  <c r="M176" i="1"/>
  <c r="M341" i="1"/>
  <c r="M46" i="1"/>
  <c r="M329" i="1"/>
  <c r="M230" i="1"/>
  <c r="M459" i="1"/>
  <c r="M144" i="1"/>
  <c r="M471" i="1"/>
  <c r="M110" i="1"/>
  <c r="M250" i="1"/>
  <c r="M23" i="1"/>
  <c r="M465" i="1"/>
  <c r="M124" i="1"/>
  <c r="M295" i="1"/>
  <c r="M276" i="1"/>
  <c r="M53" i="1"/>
  <c r="M477" i="1"/>
  <c r="M141" i="1"/>
  <c r="M270" i="1"/>
  <c r="M129" i="1"/>
  <c r="M473" i="1"/>
  <c r="M457" i="1"/>
  <c r="M70" i="1"/>
  <c r="M140" i="1"/>
  <c r="M217" i="1"/>
  <c r="M95" i="1"/>
  <c r="M118" i="1"/>
  <c r="M344" i="1"/>
  <c r="M148" i="1"/>
  <c r="M485" i="1"/>
  <c r="M207" i="1"/>
  <c r="M51" i="1"/>
  <c r="M330" i="1"/>
  <c r="M194" i="1"/>
  <c r="M440" i="1"/>
  <c r="M132" i="1"/>
  <c r="M235" i="1"/>
  <c r="M464" i="1"/>
  <c r="M248" i="1"/>
  <c r="M393" i="1"/>
  <c r="M212" i="1"/>
  <c r="M379" i="1"/>
  <c r="M168" i="1"/>
  <c r="M206" i="1"/>
  <c r="M199" i="1"/>
  <c r="M496" i="1"/>
  <c r="M203" i="1"/>
  <c r="M82" i="1"/>
  <c r="M351" i="1"/>
  <c r="M280" i="1"/>
  <c r="M77" i="1"/>
  <c r="M409" i="1"/>
  <c r="M34" i="1"/>
  <c r="M97" i="1"/>
  <c r="M67" i="1"/>
  <c r="M28" i="1"/>
  <c r="M240" i="1"/>
  <c r="M325" i="1"/>
  <c r="M238" i="1"/>
  <c r="M200" i="1"/>
  <c r="M375" i="1"/>
  <c r="M177" i="1"/>
  <c r="M412" i="1"/>
  <c r="M201" i="1"/>
  <c r="M305" i="1"/>
  <c r="M279" i="1"/>
  <c r="M150" i="1"/>
  <c r="M114" i="1"/>
  <c r="M105" i="1"/>
  <c r="M18" i="1"/>
  <c r="M284" i="1"/>
  <c r="M36" i="1"/>
  <c r="M495" i="1"/>
  <c r="M16" i="1"/>
  <c r="M89" i="1"/>
  <c r="M444" i="1"/>
  <c r="M195" i="1"/>
  <c r="M245" i="1"/>
  <c r="M251" i="1"/>
  <c r="M149" i="1"/>
  <c r="M487" i="1"/>
  <c r="M83" i="1"/>
  <c r="M158" i="1"/>
  <c r="M501" i="1"/>
  <c r="M234" i="1"/>
  <c r="M244" i="1"/>
  <c r="M106" i="1"/>
  <c r="M179" i="1"/>
  <c r="M371" i="1"/>
  <c r="M312" i="1"/>
  <c r="M171" i="1"/>
  <c r="M264" i="1"/>
  <c r="M102" i="1"/>
  <c r="M439" i="1"/>
  <c r="M315" i="1"/>
  <c r="M488" i="1"/>
  <c r="M273" i="1"/>
  <c r="M25" i="1"/>
  <c r="M78" i="1"/>
  <c r="M159" i="1"/>
  <c r="M451" i="1"/>
  <c r="M406" i="1"/>
  <c r="M127" i="1"/>
  <c r="M204" i="1"/>
  <c r="M291" i="1"/>
  <c r="M145" i="1"/>
  <c r="M31" i="1"/>
  <c r="M26" i="1"/>
  <c r="M360" i="1"/>
  <c r="M482" i="1"/>
  <c r="M87" i="1"/>
  <c r="M225" i="1"/>
  <c r="M480" i="1"/>
  <c r="M288" i="1"/>
  <c r="M426" i="1"/>
  <c r="M402" i="1"/>
  <c r="M155" i="1"/>
  <c r="M246" i="1"/>
  <c r="M66" i="1"/>
  <c r="M415" i="1"/>
  <c r="M193" i="1"/>
  <c r="M151" i="1"/>
  <c r="M161" i="1"/>
  <c r="M309" i="1"/>
  <c r="M92" i="1"/>
  <c r="M352" i="1"/>
  <c r="M156" i="1"/>
  <c r="M282" i="1"/>
  <c r="M366" i="1"/>
  <c r="M139" i="1"/>
  <c r="M424" i="1"/>
  <c r="M319" i="1"/>
  <c r="M100" i="1"/>
  <c r="M213" i="1"/>
  <c r="M20" i="1"/>
  <c r="M60" i="1"/>
  <c r="M192" i="1"/>
  <c r="M394" i="1"/>
  <c r="M8" i="1"/>
  <c r="M269" i="1"/>
  <c r="M303" i="1"/>
  <c r="M41" i="1"/>
  <c r="M13" i="1"/>
  <c r="M268" i="1"/>
  <c r="M372" i="1"/>
  <c r="M116" i="1"/>
  <c r="M76" i="1"/>
  <c r="M362" i="1"/>
  <c r="M22" i="1"/>
  <c r="M256" i="1"/>
  <c r="M380" i="1"/>
  <c r="M48" i="1"/>
  <c r="M84" i="1"/>
  <c r="M438" i="1"/>
  <c r="M173" i="1"/>
  <c r="M229" i="1"/>
  <c r="M237" i="1"/>
  <c r="M492" i="1"/>
  <c r="M252" i="1"/>
  <c r="M215" i="1"/>
  <c r="M103" i="1"/>
  <c r="M434" i="1"/>
  <c r="M384" i="1"/>
  <c r="M419" i="1"/>
  <c r="M458" i="1"/>
  <c r="M365" i="1"/>
  <c r="M88" i="1"/>
  <c r="M32" i="1"/>
  <c r="M416" i="1"/>
  <c r="M211" i="1"/>
  <c r="M96" i="1"/>
  <c r="M332" i="1"/>
  <c r="M442" i="1"/>
  <c r="M469" i="1"/>
  <c r="M47" i="1"/>
  <c r="M296" i="1"/>
  <c r="M301" i="1"/>
  <c r="M452" i="1"/>
  <c r="M266" i="1"/>
  <c r="M448" i="1"/>
  <c r="M227" i="1"/>
  <c r="M17" i="1"/>
  <c r="M478" i="1"/>
  <c r="M55" i="1"/>
  <c r="M221" i="1"/>
  <c r="M392" i="1"/>
  <c r="M108" i="1"/>
  <c r="M294" i="1"/>
  <c r="M143" i="1"/>
  <c r="M175" i="1"/>
  <c r="M169" i="1"/>
  <c r="M493" i="1"/>
  <c r="M337" i="1"/>
  <c r="M275" i="1"/>
  <c r="M57" i="1"/>
  <c r="M389" i="1"/>
  <c r="M361" i="1"/>
  <c r="M453" i="1"/>
  <c r="M369" i="1"/>
  <c r="M455" i="1"/>
  <c r="M320" i="1"/>
  <c r="M35" i="1"/>
  <c r="M208" i="1"/>
  <c r="M216" i="1"/>
  <c r="M334" i="1"/>
  <c r="M425" i="1"/>
  <c r="M29" i="1"/>
  <c r="M321" i="1"/>
  <c r="M45" i="1"/>
  <c r="M283" i="1"/>
  <c r="M101" i="1"/>
  <c r="M422" i="1"/>
  <c r="M484" i="1"/>
  <c r="M3" i="1"/>
  <c r="M130" i="1"/>
  <c r="M420" i="1"/>
  <c r="M324" i="1"/>
  <c r="M342" i="1"/>
  <c r="M80" i="1"/>
  <c r="M430" i="1"/>
  <c r="M297" i="1"/>
  <c r="M396" i="1"/>
  <c r="M65" i="1"/>
  <c r="M131" i="1"/>
  <c r="M157" i="1"/>
  <c r="M387" i="1"/>
  <c r="M197" i="1"/>
  <c r="M71" i="1"/>
  <c r="M410" i="1"/>
  <c r="M335" i="1"/>
  <c r="M49" i="1"/>
  <c r="M388" i="1"/>
  <c r="M263" i="1"/>
  <c r="M37" i="1"/>
  <c r="M259" i="1"/>
  <c r="M427" i="1"/>
  <c r="M359" i="1"/>
  <c r="M68" i="1"/>
  <c r="M437" i="1"/>
  <c r="M381" i="1"/>
  <c r="M500" i="1"/>
  <c r="M468" i="1"/>
  <c r="M383" i="1"/>
  <c r="M300" i="1"/>
  <c r="M474" i="1"/>
  <c r="M354" i="1"/>
  <c r="M350" i="1"/>
  <c r="M461" i="1"/>
  <c r="M470" i="1"/>
  <c r="M497" i="1"/>
  <c r="M271" i="1"/>
  <c r="M180" i="1"/>
  <c r="M336" i="1"/>
  <c r="M355" i="1"/>
  <c r="M59" i="1"/>
  <c r="M86" i="1"/>
  <c r="M435" i="1"/>
  <c r="M338" i="1"/>
  <c r="M400" i="1"/>
  <c r="M347" i="1"/>
  <c r="M306" i="1"/>
  <c r="M255" i="1"/>
  <c r="M407" i="1"/>
  <c r="M138" i="1"/>
  <c r="M286" i="1"/>
  <c r="M272" i="1"/>
  <c r="M423" i="1"/>
  <c r="M299" i="1"/>
  <c r="M54" i="1"/>
  <c r="M445" i="1"/>
  <c r="M414" i="1"/>
  <c r="M205" i="1"/>
  <c r="M314" i="1"/>
  <c r="M7" i="1"/>
  <c r="M112" i="1"/>
  <c r="M431" i="1"/>
  <c r="M202" i="1"/>
  <c r="M162" i="1"/>
  <c r="M373" i="1"/>
  <c r="M433" i="1"/>
  <c r="M450" i="1"/>
  <c r="M152" i="1"/>
  <c r="M40" i="1"/>
  <c r="M304" i="1"/>
  <c r="M261" i="1"/>
  <c r="M191" i="1"/>
  <c r="M290" i="1"/>
  <c r="M242" i="1"/>
  <c r="M165" i="1"/>
  <c r="M413" i="1"/>
  <c r="M94" i="1"/>
  <c r="M322" i="1"/>
  <c r="M19" i="1"/>
  <c r="M382" i="1"/>
  <c r="M285" i="1"/>
  <c r="M43" i="1"/>
  <c r="M349" i="1"/>
  <c r="M313" i="1"/>
  <c r="M107" i="1"/>
  <c r="M257" i="1"/>
  <c r="M56" i="1"/>
  <c r="M311" i="1"/>
  <c r="M74" i="1"/>
  <c r="M292" i="1"/>
  <c r="M428" i="1"/>
  <c r="M133" i="1"/>
  <c r="I75" i="5" l="1"/>
  <c r="I78" i="5"/>
  <c r="I77" i="5"/>
  <c r="I76" i="5"/>
  <c r="I79" i="5"/>
  <c r="H14" i="5"/>
  <c r="H17" i="5"/>
  <c r="H16" i="5"/>
  <c r="H15" i="5"/>
  <c r="G17" i="5"/>
  <c r="G16" i="5"/>
  <c r="G14" i="5"/>
  <c r="G15" i="5"/>
  <c r="B5" i="4"/>
  <c r="B6" i="4" s="1"/>
  <c r="F2" i="7" s="1"/>
  <c r="B10" i="4"/>
  <c r="B11" i="4"/>
</calcChain>
</file>

<file path=xl/sharedStrings.xml><?xml version="1.0" encoding="utf-8"?>
<sst xmlns="http://schemas.openxmlformats.org/spreadsheetml/2006/main" count="2961" uniqueCount="604">
  <si>
    <t>Ticket ID</t>
  </si>
  <si>
    <t>Created Date</t>
  </si>
  <si>
    <t>Resolved Date</t>
  </si>
  <si>
    <t>Priority</t>
  </si>
  <si>
    <t>Category</t>
  </si>
  <si>
    <t>Assigned Agent</t>
  </si>
  <si>
    <t>Status</t>
  </si>
  <si>
    <t>SLA Target (hrs)</t>
  </si>
  <si>
    <t>Actual Resolution Time (hrs)</t>
  </si>
  <si>
    <t>First Response Time (hrs)</t>
  </si>
  <si>
    <t>Customer Satisfaction</t>
  </si>
  <si>
    <t>T0001</t>
  </si>
  <si>
    <t>Critical</t>
  </si>
  <si>
    <t>Access</t>
  </si>
  <si>
    <t>Agent D</t>
  </si>
  <si>
    <t>Pending</t>
  </si>
  <si>
    <t>T0002</t>
  </si>
  <si>
    <t>Network</t>
  </si>
  <si>
    <t>T0003</t>
  </si>
  <si>
    <t>Hardware</t>
  </si>
  <si>
    <t>Agent E</t>
  </si>
  <si>
    <t>Resolved</t>
  </si>
  <si>
    <t>T0004</t>
  </si>
  <si>
    <t>Low</t>
  </si>
  <si>
    <t>T0005</t>
  </si>
  <si>
    <t>Agent A</t>
  </si>
  <si>
    <t>Escalated</t>
  </si>
  <si>
    <t>T0006</t>
  </si>
  <si>
    <t>T0007</t>
  </si>
  <si>
    <t>T0008</t>
  </si>
  <si>
    <t>High</t>
  </si>
  <si>
    <t>T0009</t>
  </si>
  <si>
    <t>T0010</t>
  </si>
  <si>
    <t>T0011</t>
  </si>
  <si>
    <t>Medium</t>
  </si>
  <si>
    <t>T0012</t>
  </si>
  <si>
    <t>T0013</t>
  </si>
  <si>
    <t>T0014</t>
  </si>
  <si>
    <t>T0015</t>
  </si>
  <si>
    <t>T0016</t>
  </si>
  <si>
    <t>Software</t>
  </si>
  <si>
    <t>Agent C</t>
  </si>
  <si>
    <t>T0017</t>
  </si>
  <si>
    <t>T0018</t>
  </si>
  <si>
    <t>T0019</t>
  </si>
  <si>
    <t>Agent B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</si>
  <si>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</si>
  <si>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</si>
  <si>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</si>
  <si>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</si>
  <si>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</si>
  <si>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</si>
  <si>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</si>
  <si>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</si>
  <si>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</si>
  <si>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</si>
  <si>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</si>
  <si>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</si>
  <si>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</si>
  <si>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</si>
  <si>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</si>
  <si>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</si>
  <si>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</si>
  <si>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</si>
  <si>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</si>
  <si>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</si>
  <si>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</si>
  <si>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</si>
  <si>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</si>
  <si>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</si>
  <si>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</si>
  <si>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</si>
  <si>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</si>
  <si>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</si>
  <si>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</si>
  <si>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</si>
  <si>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</si>
  <si>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</si>
  <si>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</si>
  <si>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</si>
  <si>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</si>
  <si>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</si>
  <si>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</si>
  <si>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</si>
  <si>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</si>
  <si>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</si>
  <si>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</si>
  <si>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</si>
  <si>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</si>
  <si>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</si>
  <si>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</si>
  <si>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</si>
  <si>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</si>
  <si>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</si>
  <si>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</si>
  <si>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</si>
  <si>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</si>
  <si>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</si>
  <si>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</si>
  <si>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</si>
  <si>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</si>
  <si>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</si>
  <si>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</si>
  <si>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</si>
  <si>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</si>
  <si>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</si>
  <si>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</si>
  <si>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</si>
  <si>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</si>
  <si>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</si>
  <si>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</si>
  <si>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</si>
  <si>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</si>
  <si>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</si>
  <si>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</si>
  <si>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</si>
  <si>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</si>
  <si>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</si>
  <si>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</si>
  <si>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</si>
  <si>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</si>
  <si>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</si>
  <si>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</si>
  <si>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</si>
  <si>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</si>
  <si>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</si>
  <si>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</si>
  <si>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</si>
  <si>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</si>
  <si>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</si>
  <si>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</si>
  <si>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</si>
  <si>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</si>
  <si>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</si>
  <si>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</si>
  <si>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</si>
  <si>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</si>
  <si>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</si>
  <si>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</si>
  <si>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</si>
  <si>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</si>
  <si>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</si>
  <si>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</si>
  <si>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</si>
  <si>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</si>
  <si>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</si>
  <si>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</si>
  <si>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</si>
  <si>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</si>
  <si>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</si>
  <si>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</si>
  <si>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</si>
  <si>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</si>
  <si>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</si>
  <si>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</si>
  <si>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</si>
  <si>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</si>
  <si>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</si>
  <si>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</si>
  <si>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</si>
  <si>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</si>
  <si>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</si>
  <si>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</si>
  <si>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</si>
  <si>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</si>
  <si>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</si>
  <si>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</si>
  <si>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</si>
  <si>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</si>
  <si>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</si>
  <si>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</si>
  <si>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</si>
  <si>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</si>
  <si>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</si>
  <si>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</si>
  <si>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</si>
  <si>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</si>
  <si>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</si>
  <si>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</si>
  <si>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</si>
  <si>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</si>
  <si>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</si>
  <si>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</si>
  <si>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</si>
  <si>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</si>
  <si>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</si>
  <si>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</si>
  <si>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</si>
  <si>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</si>
  <si>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</si>
  <si>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</si>
  <si>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</si>
  <si>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</si>
  <si>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</si>
  <si>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</si>
  <si>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</si>
  <si>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</si>
  <si>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</si>
  <si>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</si>
  <si>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</si>
  <si>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</si>
  <si>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</si>
  <si>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</si>
  <si>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</si>
  <si>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</si>
  <si>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</si>
  <si>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</si>
  <si>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</si>
  <si>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</si>
  <si>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</si>
  <si>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</si>
  <si>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</si>
  <si>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</si>
  <si>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</si>
  <si>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</si>
  <si>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</si>
  <si>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</si>
  <si>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</si>
  <si>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</si>
  <si>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</si>
  <si>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</si>
  <si>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</si>
  <si>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</si>
  <si>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</si>
  <si>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</si>
  <si>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</si>
  <si>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</si>
  <si>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</si>
  <si>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</si>
  <si>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</si>
  <si>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</si>
  <si>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</si>
  <si>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</si>
  <si>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</si>
  <si>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</si>
  <si>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</si>
  <si>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</si>
  <si>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</si>
  <si>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</si>
  <si>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</si>
  <si>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</si>
  <si>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</si>
  <si>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</si>
  <si>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</si>
  <si>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</si>
  <si>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</si>
  <si>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</si>
  <si>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</si>
  <si>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</si>
  <si>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</si>
  <si>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</si>
  <si>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</si>
  <si>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</si>
  <si>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</si>
  <si>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</si>
  <si>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</si>
  <si>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</si>
  <si>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</si>
  <si>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</si>
  <si>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</si>
  <si>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</si>
  <si>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</si>
  <si>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</si>
  <si>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</si>
  <si>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</si>
  <si>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</si>
  <si>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</si>
  <si>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</si>
  <si>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</si>
  <si>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</si>
  <si>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</si>
  <si>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</si>
  <si>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</si>
  <si>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</si>
  <si>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</si>
  <si>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</si>
  <si>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</si>
  <si>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</si>
  <si>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</si>
  <si>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</si>
  <si>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</si>
  <si>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</si>
  <si>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</si>
  <si>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</si>
  <si>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</si>
  <si>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</si>
  <si>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</si>
  <si>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</si>
  <si>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</si>
  <si>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</si>
  <si>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</si>
  <si>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</si>
  <si>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</si>
  <si>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</si>
  <si>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</si>
  <si>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</si>
  <si>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</si>
  <si>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</si>
  <si>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</si>
  <si>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</si>
  <si>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</si>
  <si>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</si>
  <si>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</si>
  <si>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</si>
  <si>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</si>
  <si>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</si>
  <si>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</si>
  <si>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</si>
  <si>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</si>
  <si>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</si>
  <si>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</si>
  <si>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</si>
  <si>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</si>
  <si>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</si>
  <si>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</si>
  <si>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</si>
  <si>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</si>
  <si>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</si>
  <si>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</si>
  <si>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</si>
  <si>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</si>
  <si>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</si>
  <si>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</si>
  <si>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</si>
  <si>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</si>
  <si>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</si>
  <si>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</si>
  <si>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</si>
  <si>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</si>
  <si>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</si>
  <si>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</si>
  <si>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</si>
  <si>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</si>
  <si>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</si>
  <si>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</si>
  <si>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</si>
  <si>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</si>
  <si>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</si>
  <si>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</si>
  <si>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</si>
  <si>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</si>
  <si>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</si>
  <si>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</si>
  <si>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</si>
  <si>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</si>
  <si>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</si>
  <si>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</si>
  <si>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</si>
  <si>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</si>
  <si>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</si>
  <si>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</si>
  <si>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</si>
  <si>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</si>
  <si>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</si>
  <si>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</si>
  <si>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</si>
  <si>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</si>
  <si>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</si>
  <si>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</si>
  <si>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</si>
  <si>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</si>
  <si>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</si>
  <si>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</si>
  <si>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</si>
  <si>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</si>
  <si>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</si>
  <si>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</si>
  <si>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</si>
  <si>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</si>
  <si>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</si>
  <si>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</si>
  <si>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</si>
  <si>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</si>
  <si>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</si>
  <si>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</si>
  <si>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</si>
  <si>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</si>
  <si>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</si>
  <si>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</si>
  <si>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</si>
  <si>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</si>
  <si>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</si>
  <si>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</si>
  <si>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</si>
  <si>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</si>
  <si>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</si>
  <si>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</si>
  <si>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</si>
  <si>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</si>
  <si>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</si>
  <si>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</si>
  <si>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</si>
  <si>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</si>
  <si>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</si>
  <si>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</si>
  <si>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</si>
  <si>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</si>
  <si>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</si>
  <si>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</si>
  <si>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</si>
  <si>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</si>
  <si>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</si>
  <si>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</si>
  <si>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</si>
  <si>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</si>
  <si>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</si>
  <si>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</si>
  <si>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</si>
  <si>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</si>
  <si>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</si>
  <si>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</si>
  <si>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</si>
  <si>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</si>
  <si>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</si>
  <si>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</si>
  <si>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</si>
  <si>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</si>
  <si>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</si>
  <si>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</si>
  <si>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</si>
  <si>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</si>
  <si>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</si>
  <si>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</si>
  <si>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</si>
  <si>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</si>
  <si>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</si>
  <si>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</si>
  <si>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</si>
  <si>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</si>
  <si>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</si>
  <si>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</si>
  <si>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</si>
  <si>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</si>
  <si>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</si>
  <si>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</si>
  <si>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</si>
  <si>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</si>
  <si>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</si>
  <si>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</si>
  <si>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</si>
  <si>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</si>
  <si>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</si>
  <si>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</si>
  <si>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</si>
  <si>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</si>
  <si>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</si>
  <si>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</si>
  <si>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</si>
  <si>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</si>
  <si>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</si>
  <si>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</si>
  <si>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</si>
  <si>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</si>
  <si>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</si>
  <si>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</si>
  <si>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</si>
  <si>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</si>
  <si>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</si>
  <si>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</si>
  <si>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</si>
  <si>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</si>
  <si>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</si>
  <si>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</si>
  <si>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</si>
  <si>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</si>
  <si>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</si>
  <si>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</si>
  <si>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</si>
  <si>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</si>
  <si>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</si>
  <si>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</si>
  <si>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</si>
  <si>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</si>
  <si>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</si>
  <si>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</si>
  <si>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</si>
  <si>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</si>
  <si>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</si>
  <si>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</si>
  <si>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</si>
  <si>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</si>
  <si>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</si>
  <si>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</si>
  <si>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</si>
  <si>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</si>
  <si>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</si>
  <si>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</si>
  <si>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</si>
  <si>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</si>
  <si>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</si>
  <si>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</si>
  <si>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</si>
  <si>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</si>
  <si>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</si>
  <si>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</si>
  <si>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</si>
  <si>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</si>
  <si>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</si>
  <si>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</si>
  <si>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</si>
  <si>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</si>
  <si>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</si>
  <si>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</si>
  <si>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</si>
  <si>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</si>
  <si>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</si>
  <si>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</si>
  <si>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</si>
  <si>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</si>
  <si>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</si>
  <si>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</si>
  <si>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</si>
  <si>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</si>
  <si>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</si>
  <si>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</si>
  <si>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</si>
  <si>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</si>
  <si>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</si>
  <si>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</si>
  <si>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</si>
  <si>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</si>
  <si>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</si>
  <si>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</si>
  <si>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</si>
  <si>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</si>
  <si>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</si>
  <si>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</si>
  <si>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Agent Name</t>
  </si>
  <si>
    <t>Date</t>
  </si>
  <si>
    <t>Hours Worked</t>
  </si>
  <si>
    <t>Tickets Handled</t>
  </si>
  <si>
    <t>Idle Time (hrs)</t>
  </si>
  <si>
    <t>Overtime Hours</t>
  </si>
  <si>
    <t>Experience Level</t>
  </si>
  <si>
    <t>Team</t>
  </si>
  <si>
    <t>Mid</t>
  </si>
  <si>
    <t>Team 2</t>
  </si>
  <si>
    <t>Junior</t>
  </si>
  <si>
    <t>Team 1</t>
  </si>
  <si>
    <t>Senior</t>
  </si>
  <si>
    <t>SLA Met</t>
  </si>
  <si>
    <t>Ticket Age (hrs)</t>
  </si>
  <si>
    <t>CSAT Group</t>
  </si>
  <si>
    <t>Tickets per Hour</t>
  </si>
  <si>
    <t>Utilization %</t>
  </si>
  <si>
    <t>Productive Hours</t>
  </si>
  <si>
    <t>Total Tickets</t>
  </si>
  <si>
    <t>Resolved Tickets</t>
  </si>
  <si>
    <t>Pending Tickets</t>
  </si>
  <si>
    <t>Escalated Tickets</t>
  </si>
  <si>
    <t>SLA Met Tickets</t>
  </si>
  <si>
    <t>SLA Compliance %</t>
  </si>
  <si>
    <t>Avg CSAT</t>
  </si>
  <si>
    <t>Avg Tickets per Hour</t>
  </si>
  <si>
    <t>Avg Utilization %</t>
  </si>
  <si>
    <t>Avg Resolution Time (hrs)</t>
  </si>
  <si>
    <t>Avg First Resolution Time (hrs)</t>
  </si>
  <si>
    <t>Grand Total</t>
  </si>
  <si>
    <t>No</t>
  </si>
  <si>
    <t>Yes</t>
  </si>
  <si>
    <t>Count of Ticket ID</t>
  </si>
  <si>
    <t>Count of Tickets</t>
  </si>
  <si>
    <t>SLA Compliance by Priority - Count</t>
  </si>
  <si>
    <t>SLA Compliance by Priority - Percentage</t>
  </si>
  <si>
    <t>Average Resolution Time by Category</t>
  </si>
  <si>
    <t>Average of Actual Resolution Time (hrs)</t>
  </si>
  <si>
    <t>CSAT by Agent</t>
  </si>
  <si>
    <t>Average of Customer Satisfaction</t>
  </si>
  <si>
    <t>Agent</t>
  </si>
  <si>
    <t>Tickets by Category</t>
  </si>
  <si>
    <t>Workload by Agent</t>
  </si>
  <si>
    <t>Sum of Hours Worked</t>
  </si>
  <si>
    <t>Average of Tickets per Hour</t>
  </si>
  <si>
    <t>Overtime by Agent</t>
  </si>
  <si>
    <t>Sum of Overtime Hours</t>
  </si>
  <si>
    <t>Key Findings</t>
  </si>
  <si>
    <t>• High-priority tickets have the lowest SLA compliance (~17.6%), suggesting urgent issues are not being handled fast enough</t>
  </si>
  <si>
    <t>• Low-priority tickets show the highest SLA compliance (~29%), meaning less urgent work is handled more effectively</t>
  </si>
  <si>
    <t>• A large portion of tickets are either pending (159) or escalated (177), exceeding resolved tickets (164), indicating backlog pressure</t>
  </si>
  <si>
    <t>• The average resolution time (~24.3 hours) is relatively high compared to the first response time (~4.1 hours), suggesting delays occur after initial response</t>
  </si>
  <si>
    <t>Recommendations</t>
  </si>
  <si>
    <r>
      <rPr>
        <sz val="11"/>
        <color theme="1"/>
        <rFont val="Aptos Narrow"/>
        <family val="2"/>
      </rPr>
      <t>•</t>
    </r>
    <r>
      <rPr>
        <sz val="11"/>
        <color theme="1"/>
        <rFont val="Calibri"/>
        <family val="2"/>
      </rPr>
      <t xml:space="preserve"> Introduce stricter escalation workflows and faster assignment for critical and high-priority issues</t>
    </r>
  </si>
  <si>
    <t>• Investigate why escalations (177) exceed resolved tickets and streamline resolution processes</t>
  </si>
  <si>
    <t>• Since first response is relatively quick but resolution is slow, focus on improving follow-up and ticket closure efficiency</t>
  </si>
  <si>
    <t>• Track SLA compliance in real time to quickly identify and address underperforming areas</t>
  </si>
  <si>
    <t>• Focus on categories or ticket types contributing to longer resolution times and escalations</t>
  </si>
  <si>
    <t>dallas</t>
  </si>
  <si>
    <t>new york</t>
  </si>
  <si>
    <t>richmond</t>
  </si>
  <si>
    <t>hillsborough</t>
  </si>
  <si>
    <t>edison</t>
  </si>
  <si>
    <t>M</t>
  </si>
  <si>
    <t>F</t>
  </si>
  <si>
    <t>City</t>
  </si>
  <si>
    <t>Gender</t>
  </si>
  <si>
    <t>•Volume -  Network, software, hardware, and access tickets are fairly evenly distributed, with Access tickets slightly highest in volume</t>
  </si>
  <si>
    <t>• SLA Compliance - Overall SLA compliance is low (~23%), indicating most tickets are not being resolved within SLA targets</t>
  </si>
  <si>
    <t>Ticket Count by Status</t>
  </si>
  <si>
    <t>tickets handled</t>
  </si>
  <si>
    <t>years worked</t>
  </si>
  <si>
    <t>Average Resolution Time by Agent</t>
  </si>
  <si>
    <t>Count of SLA Met</t>
  </si>
  <si>
    <t>Productivity by Agent</t>
  </si>
  <si>
    <t>Sum of Tickets Handled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</si>
</sst>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0" fontId="2" fillId="0" borderId="0" xfId="1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" fontId="0" fillId="0" borderId="0" xfId="0" applyNumberFormat="1"/>
    <xf numFmtId="0" fontId="4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35"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4" formatCode="0.00%"/>
    </dxf>
    <dxf>
      <numFmt numFmtId="2" formatCode="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 Desk Performance.xlsx]Pivot_Tables!PivotTable11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Tickets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Pivot_Tables!$A$55:$A$59</c:f>
              <c:strCache>
                <c:ptCount val="4"/>
                <c:pt idx="0">
                  <c:v>Access</c:v>
                </c:pt>
                <c:pt idx="1">
                  <c:v>Hardware</c:v>
                </c:pt>
                <c:pt idx="2">
                  <c:v>Network</c:v>
                </c:pt>
                <c:pt idx="3">
                  <c:v>Software</c:v>
                </c:pt>
              </c:strCache>
            </c:strRef>
          </c:cat>
          <c:val>
            <c:numRef>
              <c:f>Pivot_Tables!$B$55:$B$59</c:f>
              <c:numCache>
                <c:formatCode>0</c:formatCode>
                <c:ptCount val="4"/>
                <c:pt idx="0">
                  <c:v>133</c:v>
                </c:pt>
                <c:pt idx="1">
                  <c:v>127</c:v>
                </c:pt>
                <c:pt idx="2">
                  <c:v>118</c:v>
                </c:pt>
                <c:pt idx="3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6-4222-9D48-155DC107E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641727"/>
        <c:axId val="1977640287"/>
      </c:barChart>
      <c:catAx>
        <c:axId val="197764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40287"/>
        <c:crosses val="autoZero"/>
        <c:auto val="1"/>
        <c:lblAlgn val="ctr"/>
        <c:lblOffset val="100"/>
        <c:noMultiLvlLbl val="0"/>
      </c:catAx>
      <c:valAx>
        <c:axId val="197764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4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 Desk Performance.xlsx]Pivot_Tables!PivotTable7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 Resolution Time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Pivot_Tables!$A$24:$A$28</c:f>
              <c:strCache>
                <c:ptCount val="4"/>
                <c:pt idx="0">
                  <c:v>Access</c:v>
                </c:pt>
                <c:pt idx="1">
                  <c:v>Hardware</c:v>
                </c:pt>
                <c:pt idx="2">
                  <c:v>Network</c:v>
                </c:pt>
                <c:pt idx="3">
                  <c:v>Software</c:v>
                </c:pt>
              </c:strCache>
            </c:strRef>
          </c:cat>
          <c:val>
            <c:numRef>
              <c:f>Pivot_Tables!$B$24:$B$28</c:f>
              <c:numCache>
                <c:formatCode>0.00</c:formatCode>
                <c:ptCount val="4"/>
                <c:pt idx="0">
                  <c:v>26.180676691729321</c:v>
                </c:pt>
                <c:pt idx="1">
                  <c:v>22.658897637795274</c:v>
                </c:pt>
                <c:pt idx="2">
                  <c:v>22.7707627118644</c:v>
                </c:pt>
                <c:pt idx="3">
                  <c:v>25.454508196721321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D-4F1F-95C7-7434DE330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636927"/>
        <c:axId val="1977653727"/>
      </c:barChart>
      <c:catAx>
        <c:axId val="197763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53727"/>
        <c:crosses val="autoZero"/>
        <c:auto val="1"/>
        <c:lblAlgn val="ctr"/>
        <c:lblOffset val="100"/>
        <c:noMultiLvlLbl val="0"/>
      </c:catAx>
      <c:valAx>
        <c:axId val="197765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3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 Desk Performance.xlsx]Pivot_Tables!PivotTable12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Tickets</a:t>
            </a:r>
            <a:r>
              <a:rPr lang="en-US" baseline="0">
                <a:solidFill>
                  <a:schemeClr val="tx1"/>
                </a:solidFill>
              </a:rPr>
              <a:t> by Agent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Pivot_Tables!$A$65:$A$70</c:f>
              <c:strCache>
                <c:ptCount val="5"/>
                <c:pt idx="0">
                  <c:v>Agent A</c:v>
                </c:pt>
                <c:pt idx="1">
                  <c:v>Agent B</c:v>
                </c:pt>
                <c:pt idx="2">
                  <c:v>Agent C</c:v>
                </c:pt>
                <c:pt idx="3">
                  <c:v>Agent D</c:v>
                </c:pt>
                <c:pt idx="4">
                  <c:v>Agent E</c:v>
                </c:pt>
              </c:strCache>
            </c:strRef>
          </c:cat>
          <c:val>
            <c:numRef>
              <c:f>Pivot_Tables!$B$65:$B$70</c:f>
              <c:numCache>
                <c:formatCode>0</c:formatCode>
                <c:ptCount val="5"/>
                <c:pt idx="0">
                  <c:v>110</c:v>
                </c:pt>
                <c:pt idx="1">
                  <c:v>110</c:v>
                </c:pt>
                <c:pt idx="2">
                  <c:v>93</c:v>
                </c:pt>
                <c:pt idx="3">
                  <c:v>96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B-4BDD-905E-88AD0A29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723343"/>
        <c:axId val="1657740143"/>
      </c:barChart>
      <c:catAx>
        <c:axId val="165772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40143"/>
        <c:crosses val="autoZero"/>
        <c:auto val="1"/>
        <c:lblAlgn val="ctr"/>
        <c:lblOffset val="100"/>
        <c:noMultiLvlLbl val="0"/>
      </c:catAx>
      <c:valAx>
        <c:axId val="165774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2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 Desk Performance.xlsx]Pivot_Tables!PivotTable10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CSAT by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Pivot_Tables!$A$45:$A$50</c:f>
              <c:strCache>
                <c:ptCount val="5"/>
                <c:pt idx="0">
                  <c:v>Agent A</c:v>
                </c:pt>
                <c:pt idx="1">
                  <c:v>Agent B</c:v>
                </c:pt>
                <c:pt idx="2">
                  <c:v>Agent C</c:v>
                </c:pt>
                <c:pt idx="3">
                  <c:v>Agent D</c:v>
                </c:pt>
                <c:pt idx="4">
                  <c:v>Agent E</c:v>
                </c:pt>
              </c:strCache>
            </c:strRef>
          </c:cat>
          <c:val>
            <c:numRef>
              <c:f>Pivot_Tables!$B$45:$B$50</c:f>
              <c:numCache>
                <c:formatCode>0.00</c:formatCode>
                <c:ptCount val="5"/>
                <c:pt idx="0">
                  <c:v>3.2</c:v>
                </c:pt>
                <c:pt idx="1">
                  <c:v>2.918181818181818</c:v>
                </c:pt>
                <c:pt idx="2">
                  <c:v>3.010752688172043</c:v>
                </c:pt>
                <c:pt idx="3">
                  <c:v>2.8020833333333335</c:v>
                </c:pt>
                <c:pt idx="4">
                  <c:v>2.9450549450549453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5-49B5-A880-55F4F11F0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749743"/>
        <c:axId val="1657750223"/>
      </c:barChart>
      <c:catAx>
        <c:axId val="165774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50223"/>
        <c:crosses val="autoZero"/>
        <c:auto val="1"/>
        <c:lblAlgn val="ctr"/>
        <c:lblOffset val="100"/>
        <c:noMultiLvlLbl val="0"/>
      </c:catAx>
      <c:valAx>
        <c:axId val="165775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4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 Desk Performance.xlsx]Pivot_Tables!PivotTable5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SLA Compliance by</a:t>
            </a:r>
            <a:r>
              <a:rPr lang="en-US" baseline="0">
                <a:solidFill>
                  <a:schemeClr val="tx1"/>
                </a:solidFill>
              </a:rPr>
              <a:t> Priority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Pivot_Tables!$B$4:$B$8</c:f>
              <c:numCache>
                <c:formatCode>General</c:formatCode>
                <c:ptCount val="4"/>
                <c:pt idx="0">
                  <c:v>100</c:v>
                </c:pt>
                <c:pt idx="1">
                  <c:v>98</c:v>
                </c:pt>
                <c:pt idx="2">
                  <c:v>87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A-4169-9531-AC56CBF36670}"/>
            </c:ext>
          </c:extLst>
        </c:ser>
        <c:ser>
          <c:idx val="1"/>
          <c:order val="1"/>
          <c:tx>
            <c:strRef>
              <c:f>Pivot_Tables!$C$2:$C$3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Pivot_Tables!$C$4:$C$8</c:f>
              <c:numCache>
                <c:formatCode>General</c:formatCode>
                <c:ptCount val="4"/>
                <c:pt idx="0">
                  <c:v>27</c:v>
                </c:pt>
                <c:pt idx="1">
                  <c:v>21</c:v>
                </c:pt>
                <c:pt idx="2">
                  <c:v>36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6-4E55-8F2F-C8B987321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767503"/>
        <c:axId val="1657751663"/>
      </c:barChart>
      <c:catAx>
        <c:axId val="165776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51663"/>
        <c:crosses val="autoZero"/>
        <c:auto val="1"/>
        <c:lblAlgn val="ctr"/>
        <c:lblOffset val="100"/>
        <c:noMultiLvlLbl val="0"/>
      </c:catAx>
      <c:valAx>
        <c:axId val="165775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6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 Desk Performance.xlsx]Pivot_Tables!PivotTable13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Productivity by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Pivot_Tables!$B$74</c:f>
              <c:strCache>
                <c:ptCount val="1"/>
                <c:pt idx="0">
                  <c:v>Sum of Tickets Handled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Pivot_Tables!$A$75:$A$80</c:f>
              <c:strCache>
                <c:ptCount val="5"/>
                <c:pt idx="0">
                  <c:v>Agent A</c:v>
                </c:pt>
                <c:pt idx="1">
                  <c:v>Agent B</c:v>
                </c:pt>
                <c:pt idx="2">
                  <c:v>Agent C</c:v>
                </c:pt>
                <c:pt idx="3">
                  <c:v>Agent D</c:v>
                </c:pt>
                <c:pt idx="4">
                  <c:v>Agent E</c:v>
                </c:pt>
              </c:strCache>
            </c:strRef>
          </c:cat>
          <c:val>
            <c:numRef>
              <c:f>Pivot_Tables!$B$75:$B$80</c:f>
              <c:numCache>
                <c:formatCode>General</c:formatCode>
                <c:ptCount val="5"/>
                <c:pt idx="0">
                  <c:v>525</c:v>
                </c:pt>
                <c:pt idx="1">
                  <c:v>631</c:v>
                </c:pt>
                <c:pt idx="2">
                  <c:v>742</c:v>
                </c:pt>
                <c:pt idx="3">
                  <c:v>801</c:v>
                </c:pt>
                <c:pt idx="4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D-44E9-A69E-760A5AE852F4}"/>
            </c:ext>
          </c:extLst>
        </c:ser>
        <c:ser>
          <c:idx val="1"/>
          <c:order val="1"/>
          <c:tx>
            <c:strRef>
              <c:f>Pivot_Tables!$C$74</c:f>
              <c:strCache>
                <c:ptCount val="1"/>
                <c:pt idx="0">
                  <c:v>Sum of 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Pivot_Tables!$A$75:$A$80</c:f>
              <c:strCache>
                <c:ptCount val="5"/>
                <c:pt idx="0">
                  <c:v>Agent A</c:v>
                </c:pt>
                <c:pt idx="1">
                  <c:v>Agent B</c:v>
                </c:pt>
                <c:pt idx="2">
                  <c:v>Agent C</c:v>
                </c:pt>
                <c:pt idx="3">
                  <c:v>Agent D</c:v>
                </c:pt>
                <c:pt idx="4">
                  <c:v>Agent E</c:v>
                </c:pt>
              </c:strCache>
            </c:strRef>
          </c:cat>
          <c:val>
            <c:numRef>
              <c:f>Pivot_Tables!$C$75:$C$80</c:f>
              <c:numCache>
                <c:formatCode>General</c:formatCode>
                <c:ptCount val="5"/>
                <c:pt idx="0">
                  <c:v>278.48000000000008</c:v>
                </c:pt>
                <c:pt idx="1">
                  <c:v>322.98999999999995</c:v>
                </c:pt>
                <c:pt idx="2">
                  <c:v>359.96000000000009</c:v>
                </c:pt>
                <c:pt idx="3">
                  <c:v>384.15999999999997</c:v>
                </c:pt>
                <c:pt idx="4">
                  <c:v>255.64000000000001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10-4FD4-B613-B8ABCACE8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382991"/>
        <c:axId val="1737379631"/>
      </c:barChart>
      <c:lineChart>
        <c:grouping val="standard"/>
        <c:varyColors val="0"/>
        <c:ser>
          <c:idx val="2"/>
          <c:order val="2"/>
          <c:tx>
            <c:strRef>
              <c:f>Pivot_Tables!$D$74</c:f>
              <c:strCache>
                <c:ptCount val="1"/>
                <c:pt idx="0">
                  <c:v>Average of Tickets per Hour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Pivot_Tables!$A$75:$A$80</c:f>
              <c:strCache>
                <c:ptCount val="5"/>
                <c:pt idx="0">
                  <c:v>Agent A</c:v>
                </c:pt>
                <c:pt idx="1">
                  <c:v>Agent B</c:v>
                </c:pt>
                <c:pt idx="2">
                  <c:v>Agent C</c:v>
                </c:pt>
                <c:pt idx="3">
                  <c:v>Agent D</c:v>
                </c:pt>
                <c:pt idx="4">
                  <c:v>Agent E</c:v>
                </c:pt>
              </c:strCache>
            </c:strRef>
          </c:cat>
          <c:val>
            <c:numRef>
              <c:f>Pivot_Tables!$D$75:$D$80</c:f>
              <c:numCache>
                <c:formatCode>0.00</c:formatCode>
                <c:ptCount val="5"/>
                <c:pt idx="0">
                  <c:v>1.9101638082094829</c:v>
                </c:pt>
                <c:pt idx="1">
                  <c:v>2.0275202941781205</c:v>
                </c:pt>
                <c:pt idx="2">
                  <c:v>2.1020037902960178</c:v>
                </c:pt>
                <c:pt idx="3">
                  <c:v>2.1294162797077902</c:v>
                </c:pt>
                <c:pt idx="4">
                  <c:v>1.7873013007577399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10-4FD4-B613-B8ABCACE8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340111"/>
        <c:axId val="1623342511"/>
      </c:lineChart>
      <c:catAx>
        <c:axId val="173738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79631"/>
        <c:crosses val="autoZero"/>
        <c:auto val="1"/>
        <c:lblAlgn val="ctr"/>
        <c:lblOffset val="100"/>
        <c:noMultiLvlLbl val="0"/>
      </c:catAx>
      <c:valAx>
        <c:axId val="17373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82991"/>
        <c:crosses val="autoZero"/>
        <c:crossBetween val="between"/>
      </c:valAx>
      <c:valAx>
        <c:axId val="162334251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340111"/>
        <c:crosses val="max"/>
        <c:crossBetween val="between"/>
      </c:valAx>
      <c:catAx>
        <c:axId val="16233401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3425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120650</xdr:rowOff>
    </xdr:from>
    <xdr:to>
      <xdr:col>7</xdr:col>
      <xdr:colOff>444500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06A13-BC44-40AE-96FF-35231470A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0</xdr:row>
      <xdr:rowOff>158750</xdr:rowOff>
    </xdr:from>
    <xdr:to>
      <xdr:col>16</xdr:col>
      <xdr:colOff>412750</xdr:colOff>
      <xdr:row>15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F7BDB8-C110-494A-AF83-6FA9ADDD7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19</xdr:row>
      <xdr:rowOff>0</xdr:rowOff>
    </xdr:from>
    <xdr:to>
      <xdr:col>7</xdr:col>
      <xdr:colOff>400050</xdr:colOff>
      <xdr:row>33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06AF87-07D6-4D90-9F0A-C23F000C7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19</xdr:row>
      <xdr:rowOff>57150</xdr:rowOff>
    </xdr:from>
    <xdr:to>
      <xdr:col>16</xdr:col>
      <xdr:colOff>368300</xdr:colOff>
      <xdr:row>34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22BC2B-9B29-4D72-ACB9-CDBF11709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82550</xdr:colOff>
      <xdr:row>37</xdr:row>
      <xdr:rowOff>25400</xdr:rowOff>
    </xdr:from>
    <xdr:to>
      <xdr:col>7</xdr:col>
      <xdr:colOff>387350</xdr:colOff>
      <xdr:row>52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9FC0F3-0062-4B09-9E61-836901352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44450</xdr:colOff>
      <xdr:row>37</xdr:row>
      <xdr:rowOff>0</xdr:rowOff>
    </xdr:from>
    <xdr:to>
      <xdr:col>16</xdr:col>
      <xdr:colOff>349250</xdr:colOff>
      <xdr:row>51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859F5B-99B2-4510-9CF5-BF4BBB0DB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eel" refreshedDate="46128.328228240738" createdVersion="8" refreshedVersion="8" minRefreshableVersion="3" recordCount="500" xr:uid="{760FA500-9C4A-466D-B087-40E945D6E393}">
  <cacheSource type="worksheet">
    <worksheetSource name="tblTickets"/>
  </cacheSource>
  <cacheFields count="16">
    <cacheField name="Ticket ID" numFmtId="0">
      <sharedItems count="500">
        <s v="T0001"/>
        <s v="T0002"/>
        <s v="T0003"/>
        <s v="T0004"/>
        <s v="T0005"/>
        <s v="T0006"/>
        <s v="T0007"/>
        <s v="T0008"/>
        <s v="T0009"/>
        <s v="T0010"/>
        <s v="T0011"/>
        <s v="T0012"/>
        <s v="T0013"/>
        <s v="T0014"/>
        <s v="T0015"/>
        <s v="T0016"/>
        <s v="T0017"/>
        <s v="T0018"/>
        <s v="T0019"/>
        <s v="T0020"/>
        <s v="T0021"/>
        <s v="T0022"/>
        <s v="T0023"/>
        <s v="T0024"/>
        <s v="T0025"/>
        <s v="T0026"/>
        <s v="T0027"/>
        <s v="T0028"/>
        <s v="T0029"/>
        <s v="T0030"/>
        <s v="T0031"/>
        <s v="T0032"/>
        <s v="T0033"/>
        <s v="T0034"/>
        <s v="T0035"/>
        <s v="T0036"/>
        <s v="T0037"/>
        <s v="T0038"/>
        <s v="T0039"/>
        <s v="T0040"/>
        <s v="T0041"/>
        <s v="T0042"/>
        <s v="T0043"/>
        <s v="T0044"/>
        <s v="T0045"/>
        <s v="T0046"/>
        <s v="T0047"/>
        <s v="T0048"/>
        <s v="T0049"/>
        <s v="T0050"/>
        <s v="T0051"/>
        <s v="T0052"/>
        <s v="T0053"/>
        <s v="T0054"/>
        <s v="T0055"/>
        <s v="T0056"/>
        <s v="T0057"/>
        <s v="T0058"/>
        <s v="T0059"/>
        <s v="T0060"/>
        <s v="T0061"/>
        <s v="T0062"/>
        <s v="T0063"/>
        <s v="T0064"/>
        <s v="T0065"/>
        <s v="T0066"/>
        <s v="T0067"/>
        <s v="T0068"/>
        <s v="T0069"/>
        <s v="T0070"/>
        <s v="T0071"/>
        <s v="T0072"/>
        <s v="T0073"/>
        <s v="T0074"/>
        <s v="T0075"/>
        <s v="T0076"/>
        <s v="T0077"/>
        <s v="T0078"/>
        <s v="T0079"/>
        <s v="T0080"/>
        <s v="T0081"/>
        <s v="T0082"/>
        <s v="T0083"/>
        <s v="T0084"/>
        <s v="T0085"/>
        <s v="T0086"/>
        <s v="T0087"/>
        <s v="T0088"/>
        <s v="T0089"/>
        <s v="T0090"/>
        <s v="T0091"/>
        <s v="T0092"/>
        <s v="T0093"/>
        <s v="T0094"/>
        <s v="T0095"/>
        <s v="T0096"/>
        <s v="T0097"/>
        <s v="T0098"/>
        <s v="T0099"/>
        <s v="T0100"/>
        <s v="T0101"/>
        <s v="T0102"/>
        <s v="T0103"/>
        <s v="T0104"/>
        <s v="T0105"/>
        <s v="T0106"/>
        <s v="T0107"/>
        <s v="T0108"/>
        <s v="T0109"/>
        <s v="T0110"/>
        <s v="T0111"/>
        <s v="T0112"/>
        <s v="T0113"/>
        <s v="T0114"/>
        <s v="T0115"/>
        <s v="T0116"/>
        <s v="T0117"/>
        <s v="T0118"/>
        <s v="T0119"/>
        <s v="T0120"/>
        <s v="T0121"/>
        <s v="T0122"/>
        <s v="T0123"/>
        <s v="T0124"/>
        <s v="T0125"/>
        <s v="T0126"/>
        <s v="T0127"/>
        <s v="T0128"/>
        <s v="T0129"/>
        <s v="T0130"/>
        <s v="T0131"/>
        <s v="T0132"/>
        <s v="T0133"/>
        <s v="T0134"/>
        <s v="T0135"/>
        <s v="T0136"/>
        <s v="T0137"/>
        <s v="T0138"/>
        <s v="T0139"/>
        <s v="T0140"/>
        <s v="T0141"/>
        <s v="T0142"/>
        <s v="T0143"/>
        <s v="T0144"/>
        <s v="T0145"/>
        <s v="T0146"/>
        <s v="T0147"/>
        <s v="T0148"/>
        <s v="T0149"/>
        <s v="T0150"/>
        <s v="T0151"/>
        <s v="T0152"/>
        <s v="T0153"/>
        <s v="T0154"/>
        <s v="T0155"/>
        <s v="T0156"/>
        <s v="T0157"/>
        <s v="T0158"/>
        <s v="T0159"/>
        <s v="T0160"/>
        <s v="T0161"/>
        <s v="T0162"/>
        <s v="T0163"/>
        <s v="T0164"/>
        <s v="T0165"/>
        <s v="T0166"/>
        <s v="T0167"/>
        <s v="T0168"/>
        <s v="T0169"/>
        <s v="T0170"/>
        <s v="T0171"/>
        <s v="T0172"/>
        <s v="T0173"/>
        <s v="T0174"/>
        <s v="T0175"/>
        <s v="T0176"/>
        <s v="T0177"/>
        <s v="T0178"/>
        <s v="T0179"/>
        <s v="T0180"/>
        <s v="T0181"/>
        <s v="T0182"/>
        <s v="T0183"/>
        <s v="T0184"/>
        <s v="T0185"/>
        <s v="T0186"/>
        <s v="T0187"/>
        <s v="T0188"/>
        <s v="T0189"/>
        <s v="T0190"/>
        <s v="T0191"/>
        <s v="T0192"/>
        <s v="T0193"/>
        <s v="T0194"/>
        <s v="T0195"/>
        <s v="T0196"/>
        <s v="T0197"/>
        <s v="T0198"/>
        <s v="T0199"/>
        <s v="T0200"/>
        <s v="T0201"/>
        <s v="T0202"/>
        <s v="T0203"/>
        <s v="T0204"/>
        <s v="T0205"/>
        <s v="T0206"/>
        <s v="T0207"/>
        <s v="T0208"/>
        <s v="T0209"/>
        <s v="T0210"/>
        <s v="T0211"/>
        <s v="T0212"/>
        <s v="T0213"/>
        <s v="T0214"/>
        <s v="T0215"/>
        <s v="T0216"/>
        <s v="T0217"/>
        <s v="T0218"/>
        <s v="T0219"/>
        <s v="T0220"/>
        <s v="T0221"/>
        <s v="T0222"/>
        <s v="T0223"/>
        <s v="T0224"/>
        <s v="T0225"/>
        <s v="T0226"/>
        <s v="T0227"/>
        <s v="T0228"/>
        <s v="T0229"/>
        <s v="T0230"/>
        <s v="T0231"/>
        <s v="T0232"/>
        <s v="T0233"/>
        <s v="T0234"/>
        <s v="T0235"/>
        <s v="T0236"/>
        <s v="T0237"/>
        <s v="T0238"/>
        <s v="T0239"/>
        <s v="T0240"/>
        <s v="T0241"/>
        <s v="T0242"/>
        <s v="T0243"/>
        <s v="T0244"/>
        <s v="T0245"/>
        <s v="T0246"/>
        <s v="T0247"/>
        <s v="T0248"/>
        <s v="T0249"/>
        <s v="T0250"/>
        <s v="T0251"/>
        <s v="T0252"/>
        <s v="T0253"/>
        <s v="T0254"/>
        <s v="T0255"/>
        <s v="T0256"/>
        <s v="T0257"/>
        <s v="T0258"/>
        <s v="T0259"/>
        <s v="T0260"/>
        <s v="T0261"/>
        <s v="T0262"/>
        <s v="T0263"/>
        <s v="T0264"/>
        <s v="T0265"/>
        <s v="T0266"/>
        <s v="T0267"/>
        <s v="T0268"/>
        <s v="T0269"/>
        <s v="T0270"/>
        <s v="T0271"/>
        <s v="T0272"/>
        <s v="T0273"/>
        <s v="T0274"/>
        <s v="T0275"/>
        <s v="T0276"/>
        <s v="T0277"/>
        <s v="T0278"/>
        <s v="T0279"/>
        <s v="T0280"/>
        <s v="T0281"/>
        <s v="T0282"/>
        <s v="T0283"/>
        <s v="T0284"/>
        <s v="T0285"/>
        <s v="T0286"/>
        <s v="T0287"/>
        <s v="T0288"/>
        <s v="T0289"/>
        <s v="T0290"/>
        <s v="T0291"/>
        <s v="T0292"/>
        <s v="T0293"/>
        <s v="T0294"/>
        <s v="T0295"/>
        <s v="T0296"/>
        <s v="T0297"/>
        <s v="T0298"/>
        <s v="T0299"/>
        <s v="T0300"/>
        <s v="T0301"/>
        <s v="T0302"/>
        <s v="T0303"/>
        <s v="T0304"/>
        <s v="T0305"/>
        <s v="T0306"/>
        <s v="T0307"/>
        <s v="T0308"/>
        <s v="T0309"/>
        <s v="T0310"/>
        <s v="T0311"/>
        <s v="T0312"/>
        <s v="T0313"/>
        <s v="T0314"/>
        <s v="T0315"/>
        <s v="T0316"/>
        <s v="T0317"/>
        <s v="T0318"/>
        <s v="T0319"/>
        <s v="T0320"/>
        <s v="T0321"/>
        <s v="T0322"/>
        <s v="T0323"/>
        <s v="T0324"/>
        <s v="T0325"/>
        <s v="T0326"/>
        <s v="T0327"/>
        <s v="T0328"/>
        <s v="T0329"/>
        <s v="T0330"/>
        <s v="T0331"/>
        <s v="T0332"/>
        <s v="T0333"/>
        <s v="T0334"/>
        <s v="T0335"/>
        <s v="T0336"/>
        <s v="T0337"/>
        <s v="T0338"/>
        <s v="T0339"/>
        <s v="T0340"/>
        <s v="T0341"/>
        <s v="T0342"/>
        <s v="T0343"/>
        <s v="T0344"/>
        <s v="T0345"/>
        <s v="T0346"/>
        <s v="T0347"/>
        <s v="T0348"/>
        <s v="T0349"/>
        <s v="T0350"/>
        <s v="T0351"/>
        <s v="T0352"/>
        <s v="T0353"/>
        <s v="T0354"/>
        <s v="T0355"/>
        <s v="T0356"/>
        <s v="T0357"/>
        <s v="T0358"/>
        <s v="T0359"/>
        <s v="T0360"/>
        <s v="T0361"/>
        <s v="T0362"/>
        <s v="T0363"/>
        <s v="T0364"/>
        <s v="T0365"/>
        <s v="T0366"/>
        <s v="T0367"/>
        <s v="T0368"/>
        <s v="T0369"/>
        <s v="T0370"/>
        <s v="T0371"/>
        <s v="T0372"/>
        <s v="T0373"/>
        <s v="T0374"/>
        <s v="T0375"/>
        <s v="T0376"/>
        <s v="T0377"/>
        <s v="T0378"/>
        <s v="T0379"/>
        <s v="T0380"/>
        <s v="T0381"/>
        <s v="T0382"/>
        <s v="T0383"/>
        <s v="T0384"/>
        <s v="T0385"/>
        <s v="T0386"/>
        <s v="T0387"/>
        <s v="T0388"/>
        <s v="T0389"/>
        <s v="T0390"/>
        <s v="T0391"/>
        <s v="T0392"/>
        <s v="T0393"/>
        <s v="T0394"/>
        <s v="T0395"/>
        <s v="T0396"/>
        <s v="T0397"/>
        <s v="T0398"/>
        <s v="T0399"/>
        <s v="T0400"/>
        <s v="T0401"/>
        <s v="T0402"/>
        <s v="T0403"/>
        <s v="T0404"/>
        <s v="T0405"/>
        <s v="T0406"/>
        <s v="T0407"/>
        <s v="T0408"/>
        <s v="T0409"/>
        <s v="T0410"/>
        <s v="T0411"/>
        <s v="T0412"/>
        <s v="T0413"/>
        <s v="T0414"/>
        <s v="T0415"/>
        <s v="T0416"/>
        <s v="T0417"/>
        <s v="T0418"/>
        <s v="T0419"/>
        <s v="T0420"/>
        <s v="T0421"/>
        <s v="T0422"/>
        <s v="T0423"/>
        <s v="T0424"/>
        <s v="T0425"/>
        <s v="T0426"/>
        <s v="T0427"/>
        <s v="T0428"/>
        <s v="T0429"/>
        <s v="T0430"/>
        <s v="T0431"/>
        <s v="T0432"/>
        <s v="T0433"/>
        <s v="T0434"/>
        <s v="T0435"/>
        <s v="T0436"/>
        <s v="T0437"/>
        <s v="T0438"/>
        <s v="T0439"/>
        <s v="T0440"/>
        <s v="T0441"/>
        <s v="T0442"/>
        <s v="T0443"/>
        <s v="T0444"/>
        <s v="T0445"/>
        <s v="T0446"/>
        <s v="T0447"/>
        <s v="T0448"/>
        <s v="T0449"/>
        <s v="T0450"/>
        <s v="T0451"/>
        <s v="T0452"/>
        <s v="T0453"/>
        <s v="T0454"/>
        <s v="T0455"/>
        <s v="T0456"/>
        <s v="T0457"/>
        <s v="T0458"/>
        <s v="T0459"/>
        <s v="T0460"/>
        <s v="T0461"/>
        <s v="T0462"/>
        <s v="T0463"/>
        <s v="T0464"/>
        <s v="T0465"/>
        <s v="T0466"/>
        <s v="T0467"/>
        <s v="T0468"/>
        <s v="T0469"/>
        <s v="T0470"/>
        <s v="T0471"/>
        <s v="T0472"/>
        <s v="T0473"/>
        <s v="T0474"/>
        <s v="T0475"/>
        <s v="T0476"/>
        <s v="T0477"/>
        <s v="T0478"/>
        <s v="T0479"/>
        <s v="T0480"/>
        <s v="T0481"/>
        <s v="T0482"/>
        <s v="T0483"/>
        <s v="T0484"/>
        <s v="T0485"/>
        <s v="T0486"/>
        <s v="T0487"/>
        <s v="T0488"/>
        <s v="T0489"/>
        <s v="T0490"/>
        <s v="T0491"/>
        <s v="T0492"/>
        <s v="T0493"/>
        <s v="T0494"/>
        <s v="T0495"/>
        <s v="T0496"/>
        <s v="T0497"/>
        <s v="T0498"/>
        <s v="T0499"/>
        <s v="T0500"/>
      </sharedItems>
    </cacheField>
    <cacheField name="Created Date" numFmtId="14">
      <sharedItems containsSemiMixedTypes="0" containsNonDate="0" containsDate="1" containsString="0" minDate="2025-01-01T00:00:00" maxDate="2025-04-02T00:00:00"/>
    </cacheField>
    <cacheField name="Resolved Date" numFmtId="14">
      <sharedItems containsSemiMixedTypes="0" containsNonDate="0" containsDate="1" containsString="0" minDate="2025-01-01T02:37:48" maxDate="2025-04-01T22:22:12"/>
    </cacheField>
    <cacheField name="Priority" numFmtId="0">
      <sharedItems count="4">
        <s v="Critical"/>
        <s v="Low"/>
        <s v="High"/>
        <s v="Medium"/>
      </sharedItems>
    </cacheField>
    <cacheField name="Category" numFmtId="0">
      <sharedItems count="4">
        <s v="Access"/>
        <s v="Network"/>
        <s v="Hardware"/>
        <s v="Software"/>
      </sharedItems>
    </cacheField>
    <cacheField name="Assigned Agent" numFmtId="0">
      <sharedItems count="5">
        <s v="Agent D"/>
        <s v="Agent E"/>
        <s v="Agent A"/>
        <s v="Agent C"/>
        <s v="Agent B"/>
      </sharedItems>
    </cacheField>
    <cacheField name="Status" numFmtId="0">
      <sharedItems count="3">
        <s v="Pending"/>
        <s v="Resolved"/>
        <s v="Escalated"/>
      </sharedItems>
    </cacheField>
    <cacheField name="SLA Target (hrs)" numFmtId="0">
      <sharedItems containsSemiMixedTypes="0" containsString="0" containsNumber="1" containsInteger="1" minValue="4" maxValue="24" count="3">
        <n v="4"/>
        <n v="24"/>
        <n v="8"/>
      </sharedItems>
    </cacheField>
    <cacheField name="Actual Resolution Time (hrs)" numFmtId="0">
      <sharedItems containsSemiMixedTypes="0" containsString="0" containsNumber="1" minValue="1.02" maxValue="47.95"/>
    </cacheField>
    <cacheField name="First Response Time (hrs)" numFmtId="0">
      <sharedItems containsSemiMixedTypes="0" containsString="0" containsNumber="1" minValue="0.51" maxValue="8"/>
    </cacheField>
    <cacheField name="Customer Satisfaction" numFmtId="0">
      <sharedItems containsSemiMixedTypes="0" containsString="0" containsNumber="1" containsInteger="1" minValue="1" maxValue="5"/>
    </cacheField>
    <cacheField name="SLA Met" numFmtId="0">
      <sharedItems count="2">
        <s v="No"/>
        <s v="Yes"/>
      </sharedItems>
    </cacheField>
    <cacheField name="Resolution Bucket" numFmtId="0">
      <sharedItems/>
    </cacheField>
    <cacheField name="First Response Bucket" numFmtId="0">
      <sharedItems/>
    </cacheField>
    <cacheField name="Ticket Age (hrs)" numFmtId="0">
      <sharedItems containsSemiMixedTypes="0" containsString="0" containsNumber="1" minValue="1.0200000000768341" maxValue="47.950000000011642"/>
    </cacheField>
    <cacheField name="CSAT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eel" refreshedDate="46128.368393865741" createdVersion="8" refreshedVersion="8" minRefreshableVersion="3" recordCount="201" xr:uid="{906D7A50-ED2E-459E-8B78-D655010A7E68}">
  <cacheSource type="worksheet">
    <worksheetSource ref="A1:I1048576" sheet="Agent_TimeSheets"/>
  </cacheSource>
  <cacheFields count="9">
    <cacheField name="Agent Name" numFmtId="0">
      <sharedItems containsBlank="1" count="6">
        <s v="Agent D"/>
        <s v="Agent C"/>
        <s v="Agent B"/>
        <s v="Agent A"/>
        <s v="Agent E"/>
        <m/>
      </sharedItems>
    </cacheField>
    <cacheField name="Date" numFmtId="14">
      <sharedItems containsNonDate="0" containsDate="1" containsString="0" containsBlank="1" minDate="2025-01-01T00:00:00" maxDate="2025-04-02T00:00:00"/>
    </cacheField>
    <cacheField name="Hours Worked" numFmtId="0">
      <sharedItems containsString="0" containsBlank="1" containsNumber="1" minValue="6.1" maxValue="9.99"/>
    </cacheField>
    <cacheField name="Tickets Handled" numFmtId="0">
      <sharedItems containsString="0" containsBlank="1" containsNumber="1" containsInteger="1" minValue="5" maxValue="25"/>
    </cacheField>
    <cacheField name="Idle Time (hrs)" numFmtId="0">
      <sharedItems containsString="0" containsBlank="1" containsNumber="1" minValue="0.04" maxValue="2.97"/>
    </cacheField>
    <cacheField name="Overtime Hours" numFmtId="0">
      <sharedItems containsString="0" containsBlank="1" containsNumber="1" minValue="0" maxValue="1.99"/>
    </cacheField>
    <cacheField name="Tickets per Hour" numFmtId="2">
      <sharedItems containsString="0" containsBlank="1" containsNumber="1" minValue="0.55991041433370659" maxValue="3.9370078740157481" count="197">
        <n v="1.7758046614872365"/>
        <n v="0.634920634920635"/>
        <n v="0.75642965204236001"/>
        <n v="3.4313725490196076"/>
        <n v="2.321981424148607"/>
        <n v="2.6932084309133493"/>
        <n v="1.7416545718432512"/>
        <n v="3.4199726402188784"/>
        <n v="2.0022246941045605"/>
        <n v="2"/>
        <n v="2.6946107784431139"/>
        <n v="2.1707670043415339"/>
        <n v="3.1367628607277291"/>
        <n v="2.3595505617977528"/>
        <n v="1.3933547695605573"/>
        <n v="1.5950920245398772"/>
        <n v="3.7520391517128875"/>
        <n v="0.91984231274638628"/>
        <n v="1.6629711751662972"/>
        <n v="3.0826140567200988"/>
        <n v="3.125"/>
        <n v="1.8633540372670807"/>
        <n v="1.0139416983523448"/>
        <n v="1.7857142857142856"/>
        <n v="0.73746312684365778"/>
        <n v="0.93457943925233644"/>
        <n v="0.60851926977687631"/>
        <n v="0.91370558375634525"/>
        <n v="2.7536231884057969"/>
        <n v="1.5337423312883436"/>
        <n v="0.94936708860759489"/>
        <n v="2.5930101465614435"/>
        <n v="2.2871664548919948"/>
        <n v="2.6894865525672373"/>
        <n v="2.3421588594704685"/>
        <n v="1.2448132780082988"/>
        <n v="1.9083969465648853"/>
        <n v="3.3707865168539324"/>
        <n v="1.4789533560864621"/>
        <n v="2.0700636942675157"/>
        <n v="3.5541195476575118"/>
        <n v="2.3333333333333335"/>
        <n v="1.4675052410901468"/>
        <n v="0.81967213114754101"/>
        <n v="3.1724137931034484"/>
        <n v="2.9761904761904763"/>
        <n v="1.8279569892473118"/>
        <n v="2.4922118380062304"/>
        <n v="2.7508090614886731"/>
        <n v="1.4230271668822767"/>
        <n v="1.1795543905635648"/>
        <n v="1.9801980198019802"/>
        <n v="2.8785982478097623"/>
        <n v="2.8169014084507045"/>
        <n v="2.6645768025078369"/>
        <n v="1.696969696969697"/>
        <n v="2.6151930261519305"/>
        <n v="1.7997750281214846"/>
        <n v="2.0238095238095237"/>
        <n v="1.5"/>
        <n v="0.77399380804953566"/>
        <n v="3.0383091149273445"/>
        <n v="2.8315946348733236"/>
        <n v="1.7276422764227644"/>
        <n v="1.6701461377870563"/>
        <n v="2.5387870239774331"/>
        <n v="2.151639344262295"/>
        <n v="2.6205450733752622"/>
        <n v="3.089887640449438"/>
        <n v="1.450892857142857"/>
        <n v="1.8205461638491547"/>
        <n v="2.7218934911242605"/>
        <n v="2.0242914979757085"/>
        <n v="3.4536891679748822"/>
        <n v="2.7137042062415198"/>
        <n v="3.0598052851182196"/>
        <n v="3.240058910162003"/>
        <n v="1.9920318725099602"/>
        <n v="2.2788203753351208"/>
        <n v="2.1573604060913705"/>
        <n v="2.3030303030303032"/>
        <n v="2.4827586206896552"/>
        <n v="2.9363784665579118"/>
        <n v="3.1294452347083923"/>
        <n v="1.50564617314931"/>
        <n v="2.7093596059113305"/>
        <n v="1.8080667593880388"/>
        <n v="2.5036818851251841"/>
        <n v="2.2818791946308723"/>
        <n v="0.69156293222683263"/>
        <n v="2.9096477794793261"/>
        <n v="0.59952038369304561"/>
        <n v="0.8024072216649949"/>
        <n v="2.4258760107816713"/>
        <n v="1.2640449438202248"/>
        <n v="1.4627659574468086"/>
        <n v="3.1550068587105624"/>
        <n v="1.1042944785276072"/>
        <n v="2.6073619631901841"/>
        <n v="1.3062409288824384"/>
        <n v="2.5667351129363447"/>
        <n v="2.4771838331160367"/>
        <n v="3.6682615629984054"/>
        <n v="1.1400651465798046"/>
        <n v="0.82644628099173556"/>
        <n v="1.66073546856465"/>
        <n v="2.2845275181723776"/>
        <n v="1.6949152542372883"/>
        <n v="1.0030090270812437"/>
        <n v="2.1252796420581657"/>
        <n v="1.4423076923076923"/>
        <n v="2.1306818181818183"/>
        <n v="1.3437849944008959"/>
        <n v="2.6258205689277898"/>
        <n v="0.99750623441396513"/>
        <n v="1.9875776397515525"/>
        <n v="3.8226299694189603"/>
        <n v="1.7333333333333334"/>
        <n v="2.7624309392265194"/>
        <n v="1.9495412844036695"/>
        <n v="3.5031847133757958"/>
        <n v="1.0395010395010396"/>
        <n v="2.2913256955810146"/>
        <n v="3.3980582524271847"/>
        <n v="1.8763796909492272"/>
        <n v="2.3569023569023568"/>
        <n v="0.80645161290322576"/>
        <n v="2.244039270687237"/>
        <n v="2.3323615160349851"/>
        <n v="0.69252077562326875"/>
        <n v="1.1904761904761905"/>
        <n v="1.2195121951219512"/>
        <n v="1.9648397104446742"/>
        <n v="0.90497737556561086"/>
        <n v="0.79155672823218992"/>
        <n v="2.1711366538952745"/>
        <n v="2.4564994882292734"/>
        <n v="0.84134615384615385"/>
        <n v="2.4948024948024949"/>
        <n v="3.1531531531531529"/>
        <n v="2.5806451612903225"/>
        <n v="1.7801047120418847"/>
        <n v="1.6"/>
        <n v="0.70635721493440973"/>
        <n v="2.5695931477516059"/>
        <n v="0.91649694501018331"/>
        <n v="1.3171225937183384"/>
        <n v="2.8571428571428572"/>
        <n v="1.7221584385763489"/>
        <n v="3.3045977011494254"/>
        <n v="2.1298174442190669"/>
        <n v="2.72"/>
        <n v="2.8058361391694726"/>
        <n v="2.0629750271444083"/>
        <n v="0.85378868729989332"/>
        <n v="2.0558002936857562"/>
        <n v="2.9375764993880051"/>
        <n v="1.6624040920716112"/>
        <n v="1.0113780025284449"/>
        <n v="1.4064697609001406"/>
        <n v="0.60975609756097571"/>
        <n v="2.4764150943396226"/>
        <n v="1.5527950310559007"/>
        <n v="1.6276703967446593"/>
        <n v="1.5169194865810969"/>
        <n v="3.68"/>
        <n v="2.5940337224383918"/>
        <n v="0.96256684491978617"/>
        <n v="2.0359281437125749"/>
        <n v="1.9161676646706587"/>
        <n v="1.9977802441731409"/>
        <n v="0.99228224917309804"/>
        <n v="0.60120240480961917"/>
        <n v="1.0515247108307046"/>
        <n v="1.3574660633484164"/>
        <n v="2.6194144838212634"/>
        <n v="2.9850746268656714"/>
        <n v="0.63694267515923564"/>
        <n v="2.2809123649459782"/>
        <n v="2.5343189017951424"/>
        <n v="2.0020020020020022"/>
        <n v="0.59594755661501786"/>
        <n v="1.9938650306748467"/>
        <n v="1.5060240963855422"/>
        <n v="0.76419213973799127"/>
        <n v="0.55991041433370659"/>
        <n v="2.4691358024691361"/>
        <n v="3.2216494845360826"/>
        <n v="3.9370078740157481"/>
        <n v="1.0078387458006719"/>
        <n v="3.225806451612903"/>
        <n v="1.7156862745098038"/>
        <n v="3.3898305084745761"/>
        <n v="0.83532219570405719"/>
        <n v="1.7137096774193548"/>
        <n v="1.6774193548387097"/>
        <m/>
      </sharedItems>
    </cacheField>
    <cacheField name="Utilization %" numFmtId="10">
      <sharedItems containsString="0" containsBlank="1" containsNumber="1" minValue="0.53191489361702127" maxValue="0.99553571428571441"/>
    </cacheField>
    <cacheField name="Productive Hours" numFmtId="2">
      <sharedItems containsString="0" containsBlank="1" containsNumber="1" minValue="3.2500000000000004" maxValue="9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d v="2025-03-07T00:00:00"/>
    <d v="2025-03-08T11:06:36"/>
    <x v="0"/>
    <x v="0"/>
    <x v="0"/>
    <x v="0"/>
    <x v="0"/>
    <n v="35.11"/>
    <n v="2.2200000000000002"/>
    <n v="3"/>
    <x v="0"/>
    <s v="24+ hrs"/>
    <s v="2-4 hrs"/>
    <n v="35.1099999997532"/>
    <s v="Neutral"/>
  </r>
  <r>
    <x v="1"/>
    <d v="2025-03-31T00:00:00"/>
    <d v="2025-04-01T00:55:12"/>
    <x v="0"/>
    <x v="1"/>
    <x v="0"/>
    <x v="0"/>
    <x v="1"/>
    <n v="24.92"/>
    <n v="2.08"/>
    <n v="3"/>
    <x v="0"/>
    <s v="24+ hrs"/>
    <s v="2-4 hrs"/>
    <n v="24.919999999925494"/>
    <s v="Neutral"/>
  </r>
  <r>
    <x v="2"/>
    <d v="2025-01-01T00:00:00"/>
    <d v="2025-01-01T10:56:24"/>
    <x v="0"/>
    <x v="2"/>
    <x v="1"/>
    <x v="1"/>
    <x v="0"/>
    <n v="10.94"/>
    <n v="3.38"/>
    <n v="1"/>
    <x v="0"/>
    <s v="8-24 hrs"/>
    <s v="2-4 hrs"/>
    <n v="10.940000000002328"/>
    <s v="Dissatisfied"/>
  </r>
  <r>
    <x v="3"/>
    <d v="2025-03-26T00:00:00"/>
    <d v="2025-03-26T02:52:48"/>
    <x v="1"/>
    <x v="1"/>
    <x v="1"/>
    <x v="0"/>
    <x v="2"/>
    <n v="2.88"/>
    <n v="1.0900000000000001"/>
    <n v="4"/>
    <x v="1"/>
    <s v="0-4 hrs"/>
    <s v="1-2 hrs"/>
    <n v="2.8800000000628643"/>
    <s v="Satisfied"/>
  </r>
  <r>
    <x v="4"/>
    <d v="2025-02-21T00:00:00"/>
    <d v="2025-02-21T21:57:36"/>
    <x v="0"/>
    <x v="1"/>
    <x v="2"/>
    <x v="2"/>
    <x v="1"/>
    <n v="21.96"/>
    <n v="1.45"/>
    <n v="4"/>
    <x v="1"/>
    <s v="8-24 hrs"/>
    <s v="1-2 hrs"/>
    <n v="21.960000000020955"/>
    <s v="Satisfied"/>
  </r>
  <r>
    <x v="5"/>
    <d v="2025-01-09T00:00:00"/>
    <d v="2025-01-09T20:53:24"/>
    <x v="1"/>
    <x v="1"/>
    <x v="0"/>
    <x v="2"/>
    <x v="2"/>
    <n v="20.89"/>
    <n v="7.19"/>
    <n v="1"/>
    <x v="0"/>
    <s v="8-24 hrs"/>
    <s v="4+ hrs"/>
    <n v="20.889999999781139"/>
    <s v="Dissatisfied"/>
  </r>
  <r>
    <x v="6"/>
    <d v="2025-02-19T00:00:00"/>
    <d v="2025-02-19T17:57:00"/>
    <x v="0"/>
    <x v="2"/>
    <x v="0"/>
    <x v="0"/>
    <x v="1"/>
    <n v="17.95"/>
    <n v="2.0499999999999998"/>
    <n v="3"/>
    <x v="1"/>
    <s v="8-24 hrs"/>
    <s v="2-4 hrs"/>
    <n v="17.950000000011642"/>
    <s v="Neutral"/>
  </r>
  <r>
    <x v="7"/>
    <d v="2025-01-01T00:00:00"/>
    <d v="2025-01-01T02:37:48"/>
    <x v="2"/>
    <x v="1"/>
    <x v="0"/>
    <x v="0"/>
    <x v="2"/>
    <n v="2.63"/>
    <n v="4.62"/>
    <n v="4"/>
    <x v="1"/>
    <s v="0-4 hrs"/>
    <s v="4+ hrs"/>
    <n v="2.629999999946449"/>
    <s v="Satisfied"/>
  </r>
  <r>
    <x v="8"/>
    <d v="2025-01-23T00:00:00"/>
    <d v="2025-01-24T01:20:24"/>
    <x v="2"/>
    <x v="2"/>
    <x v="0"/>
    <x v="1"/>
    <x v="2"/>
    <n v="25.34"/>
    <n v="5.0199999999999996"/>
    <n v="2"/>
    <x v="0"/>
    <s v="24+ hrs"/>
    <s v="4+ hrs"/>
    <n v="25.339999999967404"/>
    <s v="Dissatisfied"/>
  </r>
  <r>
    <x v="9"/>
    <d v="2025-03-10T00:00:00"/>
    <d v="2025-03-11T11:43:12"/>
    <x v="2"/>
    <x v="2"/>
    <x v="0"/>
    <x v="2"/>
    <x v="2"/>
    <n v="35.72"/>
    <n v="6.95"/>
    <n v="2"/>
    <x v="0"/>
    <s v="24+ hrs"/>
    <s v="4+ hrs"/>
    <n v="35.719999999855645"/>
    <s v="Dissatisfied"/>
  </r>
  <r>
    <x v="10"/>
    <d v="2025-03-09T00:00:00"/>
    <d v="2025-03-10T05:22:48"/>
    <x v="3"/>
    <x v="2"/>
    <x v="1"/>
    <x v="1"/>
    <x v="0"/>
    <n v="29.38"/>
    <n v="1.03"/>
    <n v="4"/>
    <x v="0"/>
    <s v="24+ hrs"/>
    <s v="1-2 hrs"/>
    <n v="29.380000000004657"/>
    <s v="Satisfied"/>
  </r>
  <r>
    <x v="11"/>
    <d v="2025-03-17T00:00:00"/>
    <d v="2025-03-18T11:15:00"/>
    <x v="2"/>
    <x v="0"/>
    <x v="0"/>
    <x v="0"/>
    <x v="0"/>
    <n v="35.25"/>
    <n v="4.92"/>
    <n v="4"/>
    <x v="0"/>
    <s v="24+ hrs"/>
    <s v="4+ hrs"/>
    <n v="35.25"/>
    <s v="Satisfied"/>
  </r>
  <r>
    <x v="12"/>
    <d v="2025-01-20T00:00:00"/>
    <d v="2025-01-20T08:48:36"/>
    <x v="0"/>
    <x v="1"/>
    <x v="2"/>
    <x v="0"/>
    <x v="0"/>
    <n v="8.81"/>
    <n v="7.81"/>
    <n v="5"/>
    <x v="0"/>
    <s v="8-24 hrs"/>
    <s v="4+ hrs"/>
    <n v="8.809999999939464"/>
    <s v="Satisfied"/>
  </r>
  <r>
    <x v="13"/>
    <d v="2025-02-21T00:00:00"/>
    <d v="2025-02-22T14:16:48"/>
    <x v="2"/>
    <x v="0"/>
    <x v="2"/>
    <x v="0"/>
    <x v="2"/>
    <n v="38.28"/>
    <n v="5.79"/>
    <n v="2"/>
    <x v="0"/>
    <s v="24+ hrs"/>
    <s v="4+ hrs"/>
    <n v="38.28000000002794"/>
    <s v="Dissatisfied"/>
  </r>
  <r>
    <x v="14"/>
    <d v="2025-01-02T00:00:00"/>
    <d v="2025-01-03T01:18:00"/>
    <x v="2"/>
    <x v="2"/>
    <x v="2"/>
    <x v="1"/>
    <x v="0"/>
    <n v="25.3"/>
    <n v="1.07"/>
    <n v="3"/>
    <x v="0"/>
    <s v="24+ hrs"/>
    <s v="1-2 hrs"/>
    <n v="25.300000000046566"/>
    <s v="Neutral"/>
  </r>
  <r>
    <x v="15"/>
    <d v="2025-03-19T00:00:00"/>
    <d v="2025-03-20T18:19:12"/>
    <x v="3"/>
    <x v="3"/>
    <x v="3"/>
    <x v="0"/>
    <x v="2"/>
    <n v="42.32"/>
    <n v="0.51"/>
    <n v="2"/>
    <x v="0"/>
    <s v="24+ hrs"/>
    <s v="0-1 hr"/>
    <n v="42.320000000239816"/>
    <s v="Dissatisfied"/>
  </r>
  <r>
    <x v="16"/>
    <d v="2025-03-10T00:00:00"/>
    <d v="2025-03-10T02:24:36"/>
    <x v="1"/>
    <x v="1"/>
    <x v="0"/>
    <x v="2"/>
    <x v="0"/>
    <n v="2.41"/>
    <n v="6.16"/>
    <n v="5"/>
    <x v="1"/>
    <s v="0-4 hrs"/>
    <s v="4+ hrs"/>
    <n v="2.4100000000325963"/>
    <s v="Satisfied"/>
  </r>
  <r>
    <x v="17"/>
    <d v="2025-01-08T00:00:00"/>
    <d v="2025-01-09T14:49:48"/>
    <x v="1"/>
    <x v="0"/>
    <x v="2"/>
    <x v="2"/>
    <x v="1"/>
    <n v="38.83"/>
    <n v="2.2799999999999998"/>
    <n v="3"/>
    <x v="0"/>
    <s v="24+ hrs"/>
    <s v="2-4 hrs"/>
    <n v="38.830000000074506"/>
    <s v="Neutral"/>
  </r>
  <r>
    <x v="18"/>
    <d v="2025-02-25T00:00:00"/>
    <d v="2025-02-25T04:19:12"/>
    <x v="3"/>
    <x v="1"/>
    <x v="4"/>
    <x v="1"/>
    <x v="1"/>
    <n v="4.32"/>
    <n v="3.12"/>
    <n v="5"/>
    <x v="1"/>
    <s v="4-8 hrs"/>
    <s v="2-4 hrs"/>
    <n v="4.3200000000069849"/>
    <s v="Satisfied"/>
  </r>
  <r>
    <x v="19"/>
    <d v="2025-01-19T00:00:00"/>
    <d v="2025-01-20T12:37:48"/>
    <x v="2"/>
    <x v="1"/>
    <x v="3"/>
    <x v="2"/>
    <x v="0"/>
    <n v="36.630000000000003"/>
    <n v="4.4400000000000004"/>
    <n v="2"/>
    <x v="0"/>
    <s v="24+ hrs"/>
    <s v="4+ hrs"/>
    <n v="36.630000000062864"/>
    <s v="Dissatisfied"/>
  </r>
  <r>
    <x v="20"/>
    <d v="2025-01-24T00:00:00"/>
    <d v="2025-01-24T02:15:36"/>
    <x v="0"/>
    <x v="1"/>
    <x v="2"/>
    <x v="0"/>
    <x v="2"/>
    <n v="2.2599999999999998"/>
    <n v="0.95"/>
    <n v="3"/>
    <x v="1"/>
    <s v="0-4 hrs"/>
    <s v="0-1 hr"/>
    <n v="2.2600000000675209"/>
    <s v="Neutral"/>
  </r>
  <r>
    <x v="21"/>
    <d v="2025-02-27T00:00:00"/>
    <d v="2025-02-27T16:57:00"/>
    <x v="3"/>
    <x v="0"/>
    <x v="0"/>
    <x v="0"/>
    <x v="1"/>
    <n v="16.95"/>
    <n v="4.9000000000000004"/>
    <n v="3"/>
    <x v="1"/>
    <s v="8-24 hrs"/>
    <s v="4+ hrs"/>
    <n v="16.950000000069849"/>
    <s v="Neutral"/>
  </r>
  <r>
    <x v="22"/>
    <d v="2025-03-13T00:00:00"/>
    <d v="2025-03-13T10:26:24"/>
    <x v="2"/>
    <x v="2"/>
    <x v="2"/>
    <x v="2"/>
    <x v="1"/>
    <n v="10.44"/>
    <n v="3.66"/>
    <n v="4"/>
    <x v="1"/>
    <s v="8-24 hrs"/>
    <s v="2-4 hrs"/>
    <n v="10.439999999944121"/>
    <s v="Satisfied"/>
  </r>
  <r>
    <x v="23"/>
    <d v="2025-02-23T00:00:00"/>
    <d v="2025-02-24T22:18:00"/>
    <x v="0"/>
    <x v="3"/>
    <x v="1"/>
    <x v="2"/>
    <x v="2"/>
    <n v="46.3"/>
    <n v="0.99"/>
    <n v="5"/>
    <x v="0"/>
    <s v="24+ hrs"/>
    <s v="0-1 hr"/>
    <n v="46.300000000046566"/>
    <s v="Satisfied"/>
  </r>
  <r>
    <x v="24"/>
    <d v="2025-03-24T00:00:00"/>
    <d v="2025-03-25T20:37:48"/>
    <x v="3"/>
    <x v="0"/>
    <x v="2"/>
    <x v="2"/>
    <x v="0"/>
    <n v="44.63"/>
    <n v="5.55"/>
    <n v="4"/>
    <x v="0"/>
    <s v="24+ hrs"/>
    <s v="4+ hrs"/>
    <n v="44.629999999946449"/>
    <s v="Satisfied"/>
  </r>
  <r>
    <x v="25"/>
    <d v="2025-03-18T00:00:00"/>
    <d v="2025-03-18T17:47:24"/>
    <x v="1"/>
    <x v="0"/>
    <x v="4"/>
    <x v="2"/>
    <x v="2"/>
    <n v="17.79"/>
    <n v="3.27"/>
    <n v="5"/>
    <x v="0"/>
    <s v="8-24 hrs"/>
    <s v="2-4 hrs"/>
    <n v="17.789999999979045"/>
    <s v="Satisfied"/>
  </r>
  <r>
    <x v="26"/>
    <d v="2025-01-09T00:00:00"/>
    <d v="2025-01-10T16:40:12"/>
    <x v="3"/>
    <x v="2"/>
    <x v="4"/>
    <x v="2"/>
    <x v="1"/>
    <n v="40.67"/>
    <n v="1.1100000000000001"/>
    <n v="3"/>
    <x v="0"/>
    <s v="24+ hrs"/>
    <s v="1-2 hrs"/>
    <n v="40.669999999925494"/>
    <s v="Neutral"/>
  </r>
  <r>
    <x v="27"/>
    <d v="2025-02-05T00:00:00"/>
    <d v="2025-02-06T18:25:48"/>
    <x v="1"/>
    <x v="3"/>
    <x v="3"/>
    <x v="2"/>
    <x v="2"/>
    <n v="42.43"/>
    <n v="4.66"/>
    <n v="5"/>
    <x v="0"/>
    <s v="24+ hrs"/>
    <s v="4+ hrs"/>
    <n v="42.429999999760184"/>
    <s v="Satisfied"/>
  </r>
  <r>
    <x v="28"/>
    <d v="2025-02-23T00:00:00"/>
    <d v="2025-02-23T14:30:36"/>
    <x v="2"/>
    <x v="2"/>
    <x v="0"/>
    <x v="0"/>
    <x v="0"/>
    <n v="14.51"/>
    <n v="1.1399999999999999"/>
    <n v="1"/>
    <x v="0"/>
    <s v="8-24 hrs"/>
    <s v="1-2 hrs"/>
    <n v="14.50999999983469"/>
    <s v="Dissatisfied"/>
  </r>
  <r>
    <x v="29"/>
    <d v="2025-03-24T00:00:00"/>
    <d v="2025-03-25T01:10:12"/>
    <x v="0"/>
    <x v="2"/>
    <x v="2"/>
    <x v="1"/>
    <x v="0"/>
    <n v="25.17"/>
    <n v="3.23"/>
    <n v="5"/>
    <x v="0"/>
    <s v="24+ hrs"/>
    <s v="2-4 hrs"/>
    <n v="25.17000000004191"/>
    <s v="Satisfied"/>
  </r>
  <r>
    <x v="30"/>
    <d v="2025-01-28T00:00:00"/>
    <d v="2025-01-28T12:05:24"/>
    <x v="1"/>
    <x v="3"/>
    <x v="0"/>
    <x v="2"/>
    <x v="2"/>
    <n v="12.09"/>
    <n v="5.17"/>
    <n v="3"/>
    <x v="0"/>
    <s v="8-24 hrs"/>
    <s v="4+ hrs"/>
    <n v="12.090000000083819"/>
    <s v="Neutral"/>
  </r>
  <r>
    <x v="31"/>
    <d v="2025-01-02T00:00:00"/>
    <d v="2025-01-03T07:15:00"/>
    <x v="1"/>
    <x v="0"/>
    <x v="4"/>
    <x v="1"/>
    <x v="0"/>
    <n v="31.25"/>
    <n v="1"/>
    <n v="5"/>
    <x v="0"/>
    <s v="24+ hrs"/>
    <s v="0-1 hr"/>
    <n v="31.250000000232831"/>
    <s v="Satisfied"/>
  </r>
  <r>
    <x v="32"/>
    <d v="2025-02-22T00:00:00"/>
    <d v="2025-02-23T14:09:36"/>
    <x v="1"/>
    <x v="0"/>
    <x v="0"/>
    <x v="0"/>
    <x v="2"/>
    <n v="38.159999999999997"/>
    <n v="0.86"/>
    <n v="2"/>
    <x v="0"/>
    <s v="24+ hrs"/>
    <s v="0-1 hr"/>
    <n v="38.159999999916181"/>
    <s v="Dissatisfied"/>
  </r>
  <r>
    <x v="33"/>
    <d v="2025-01-31T00:00:00"/>
    <d v="2025-02-01T08:48:36"/>
    <x v="3"/>
    <x v="0"/>
    <x v="3"/>
    <x v="2"/>
    <x v="1"/>
    <n v="32.81"/>
    <n v="5.84"/>
    <n v="3"/>
    <x v="0"/>
    <s v="24+ hrs"/>
    <s v="4+ hrs"/>
    <n v="32.809999999939464"/>
    <s v="Neutral"/>
  </r>
  <r>
    <x v="34"/>
    <d v="2025-03-02T00:00:00"/>
    <d v="2025-03-02T19:30:00"/>
    <x v="1"/>
    <x v="2"/>
    <x v="4"/>
    <x v="0"/>
    <x v="1"/>
    <n v="19.5"/>
    <n v="0.56000000000000005"/>
    <n v="3"/>
    <x v="1"/>
    <s v="8-24 hrs"/>
    <s v="0-1 hr"/>
    <n v="19.5"/>
    <s v="Neutral"/>
  </r>
  <r>
    <x v="35"/>
    <d v="2025-01-25T00:00:00"/>
    <d v="2025-01-25T04:49:12"/>
    <x v="0"/>
    <x v="1"/>
    <x v="4"/>
    <x v="0"/>
    <x v="2"/>
    <n v="4.82"/>
    <n v="7.53"/>
    <n v="1"/>
    <x v="1"/>
    <s v="4-8 hrs"/>
    <s v="4+ hrs"/>
    <n v="4.8200000002398156"/>
    <s v="Dissatisfied"/>
  </r>
  <r>
    <x v="36"/>
    <d v="2025-02-07T00:00:00"/>
    <d v="2025-02-08T18:11:24"/>
    <x v="3"/>
    <x v="3"/>
    <x v="3"/>
    <x v="2"/>
    <x v="2"/>
    <n v="42.19"/>
    <n v="7.88"/>
    <n v="4"/>
    <x v="0"/>
    <s v="24+ hrs"/>
    <s v="4+ hrs"/>
    <n v="42.190000000060536"/>
    <s v="Satisfied"/>
  </r>
  <r>
    <x v="37"/>
    <d v="2025-02-09T00:00:00"/>
    <d v="2025-02-09T23:44:24"/>
    <x v="2"/>
    <x v="0"/>
    <x v="3"/>
    <x v="0"/>
    <x v="0"/>
    <n v="23.74"/>
    <n v="3.65"/>
    <n v="5"/>
    <x v="0"/>
    <s v="8-24 hrs"/>
    <s v="2-4 hrs"/>
    <n v="23.74000000016531"/>
    <s v="Satisfied"/>
  </r>
  <r>
    <x v="38"/>
    <d v="2025-01-18T00:00:00"/>
    <d v="2025-01-18T20:03:00"/>
    <x v="1"/>
    <x v="0"/>
    <x v="0"/>
    <x v="0"/>
    <x v="0"/>
    <n v="20.05"/>
    <n v="4.1100000000000003"/>
    <n v="2"/>
    <x v="0"/>
    <s v="8-24 hrs"/>
    <s v="4+ hrs"/>
    <n v="20.050000000046566"/>
    <s v="Dissatisfied"/>
  </r>
  <r>
    <x v="39"/>
    <d v="2025-03-20T00:00:00"/>
    <d v="2025-03-20T18:54:36"/>
    <x v="2"/>
    <x v="2"/>
    <x v="2"/>
    <x v="0"/>
    <x v="0"/>
    <n v="18.91"/>
    <n v="7.89"/>
    <n v="4"/>
    <x v="0"/>
    <s v="8-24 hrs"/>
    <s v="4+ hrs"/>
    <n v="18.910000000032596"/>
    <s v="Satisfied"/>
  </r>
  <r>
    <x v="40"/>
    <d v="2025-01-26T00:00:00"/>
    <d v="2025-01-26T07:18:36"/>
    <x v="3"/>
    <x v="3"/>
    <x v="0"/>
    <x v="0"/>
    <x v="1"/>
    <n v="7.31"/>
    <n v="4.74"/>
    <n v="1"/>
    <x v="1"/>
    <s v="4-8 hrs"/>
    <s v="4+ hrs"/>
    <n v="7.309999999939464"/>
    <s v="Dissatisfied"/>
  </r>
  <r>
    <x v="41"/>
    <d v="2025-03-18T00:00:00"/>
    <d v="2025-03-18T17:28:48"/>
    <x v="1"/>
    <x v="2"/>
    <x v="1"/>
    <x v="1"/>
    <x v="2"/>
    <n v="17.48"/>
    <n v="3.1"/>
    <n v="1"/>
    <x v="0"/>
    <s v="8-24 hrs"/>
    <s v="2-4 hrs"/>
    <n v="17.479999999981374"/>
    <s v="Dissatisfied"/>
  </r>
  <r>
    <x v="42"/>
    <d v="2025-03-20T00:00:00"/>
    <d v="2025-03-21T06:51:36"/>
    <x v="3"/>
    <x v="1"/>
    <x v="4"/>
    <x v="2"/>
    <x v="1"/>
    <n v="30.86"/>
    <n v="1.31"/>
    <n v="1"/>
    <x v="0"/>
    <s v="24+ hrs"/>
    <s v="1-2 hrs"/>
    <n v="30.860000000218861"/>
    <s v="Dissatisfied"/>
  </r>
  <r>
    <x v="43"/>
    <d v="2025-02-03T00:00:00"/>
    <d v="2025-02-04T22:00:00"/>
    <x v="3"/>
    <x v="0"/>
    <x v="2"/>
    <x v="1"/>
    <x v="2"/>
    <n v="46"/>
    <n v="6.23"/>
    <n v="2"/>
    <x v="0"/>
    <s v="24+ hrs"/>
    <s v="4+ hrs"/>
    <n v="45.999999999767169"/>
    <s v="Dissatisfied"/>
  </r>
  <r>
    <x v="44"/>
    <d v="2025-01-04T00:00:00"/>
    <d v="2025-01-04T14:27:36"/>
    <x v="2"/>
    <x v="0"/>
    <x v="0"/>
    <x v="1"/>
    <x v="1"/>
    <n v="14.46"/>
    <n v="4.6900000000000004"/>
    <n v="4"/>
    <x v="1"/>
    <s v="8-24 hrs"/>
    <s v="4+ hrs"/>
    <n v="14.460000000020955"/>
    <s v="Satisfied"/>
  </r>
  <r>
    <x v="45"/>
    <d v="2025-01-30T00:00:00"/>
    <d v="2025-01-30T04:30:36"/>
    <x v="0"/>
    <x v="2"/>
    <x v="2"/>
    <x v="1"/>
    <x v="2"/>
    <n v="4.51"/>
    <n v="7.12"/>
    <n v="1"/>
    <x v="1"/>
    <s v="4-8 hrs"/>
    <s v="4+ hrs"/>
    <n v="4.5100000000675209"/>
    <s v="Dissatisfied"/>
  </r>
  <r>
    <x v="46"/>
    <d v="2025-03-12T00:00:00"/>
    <d v="2025-03-12T05:42:00"/>
    <x v="3"/>
    <x v="2"/>
    <x v="1"/>
    <x v="2"/>
    <x v="2"/>
    <n v="5.7"/>
    <n v="6.53"/>
    <n v="5"/>
    <x v="1"/>
    <s v="4-8 hrs"/>
    <s v="4+ hrs"/>
    <n v="5.7000000000698492"/>
    <s v="Satisfied"/>
  </r>
  <r>
    <x v="47"/>
    <d v="2025-03-12T00:00:00"/>
    <d v="2025-03-12T18:24:00"/>
    <x v="0"/>
    <x v="0"/>
    <x v="0"/>
    <x v="1"/>
    <x v="1"/>
    <n v="18.399999999999999"/>
    <n v="0.9"/>
    <n v="5"/>
    <x v="1"/>
    <s v="8-24 hrs"/>
    <s v="0-1 hr"/>
    <n v="18.400000000081491"/>
    <s v="Satisfied"/>
  </r>
  <r>
    <x v="48"/>
    <d v="2025-03-20T00:00:00"/>
    <d v="2025-03-21T02:27:36"/>
    <x v="3"/>
    <x v="2"/>
    <x v="2"/>
    <x v="2"/>
    <x v="1"/>
    <n v="26.46"/>
    <n v="7.34"/>
    <n v="2"/>
    <x v="0"/>
    <s v="24+ hrs"/>
    <s v="4+ hrs"/>
    <n v="26.460000000020955"/>
    <s v="Dissatisfied"/>
  </r>
  <r>
    <x v="49"/>
    <d v="2025-02-01T00:00:00"/>
    <d v="2025-02-02T01:18:00"/>
    <x v="2"/>
    <x v="3"/>
    <x v="4"/>
    <x v="2"/>
    <x v="0"/>
    <n v="25.3"/>
    <n v="3.83"/>
    <n v="2"/>
    <x v="0"/>
    <s v="24+ hrs"/>
    <s v="2-4 hrs"/>
    <n v="25.300000000046566"/>
    <s v="Dissatisfied"/>
  </r>
  <r>
    <x v="50"/>
    <d v="2025-02-23T00:00:00"/>
    <d v="2025-02-23T04:48:00"/>
    <x v="1"/>
    <x v="1"/>
    <x v="2"/>
    <x v="0"/>
    <x v="0"/>
    <n v="4.8"/>
    <n v="4.38"/>
    <n v="2"/>
    <x v="0"/>
    <s v="4-8 hrs"/>
    <s v="4+ hrs"/>
    <n v="4.7999999999301508"/>
    <s v="Dissatisfied"/>
  </r>
  <r>
    <x v="51"/>
    <d v="2025-02-27T00:00:00"/>
    <d v="2025-02-28T14:01:12"/>
    <x v="2"/>
    <x v="3"/>
    <x v="0"/>
    <x v="2"/>
    <x v="0"/>
    <n v="38.020000000000003"/>
    <n v="5.55"/>
    <n v="2"/>
    <x v="0"/>
    <s v="24+ hrs"/>
    <s v="4+ hrs"/>
    <n v="38.020000000018626"/>
    <s v="Dissatisfied"/>
  </r>
  <r>
    <x v="52"/>
    <d v="2025-03-20T00:00:00"/>
    <d v="2025-03-21T14:59:24"/>
    <x v="0"/>
    <x v="3"/>
    <x v="2"/>
    <x v="1"/>
    <x v="2"/>
    <n v="38.99"/>
    <n v="7.48"/>
    <n v="4"/>
    <x v="0"/>
    <s v="24+ hrs"/>
    <s v="4+ hrs"/>
    <n v="38.989999999932479"/>
    <s v="Satisfied"/>
  </r>
  <r>
    <x v="53"/>
    <d v="2025-03-14T00:00:00"/>
    <d v="2025-03-14T14:14:24"/>
    <x v="3"/>
    <x v="1"/>
    <x v="0"/>
    <x v="2"/>
    <x v="0"/>
    <n v="14.24"/>
    <n v="5.46"/>
    <n v="5"/>
    <x v="0"/>
    <s v="8-24 hrs"/>
    <s v="4+ hrs"/>
    <n v="14.239999999932479"/>
    <s v="Satisfied"/>
  </r>
  <r>
    <x v="54"/>
    <d v="2025-01-29T00:00:00"/>
    <d v="2025-01-30T22:43:48"/>
    <x v="3"/>
    <x v="2"/>
    <x v="0"/>
    <x v="2"/>
    <x v="1"/>
    <n v="46.73"/>
    <n v="5.81"/>
    <n v="4"/>
    <x v="0"/>
    <s v="24+ hrs"/>
    <s v="4+ hrs"/>
    <n v="46.729999999981374"/>
    <s v="Satisfied"/>
  </r>
  <r>
    <x v="55"/>
    <d v="2025-01-03T00:00:00"/>
    <d v="2025-01-04T22:06:36"/>
    <x v="0"/>
    <x v="0"/>
    <x v="4"/>
    <x v="2"/>
    <x v="1"/>
    <n v="46.11"/>
    <n v="1.27"/>
    <n v="1"/>
    <x v="0"/>
    <s v="24+ hrs"/>
    <s v="1-2 hrs"/>
    <n v="46.10999999998603"/>
    <s v="Dissatisfied"/>
  </r>
  <r>
    <x v="56"/>
    <d v="2025-01-10T00:00:00"/>
    <d v="2025-01-11T11:57:36"/>
    <x v="1"/>
    <x v="1"/>
    <x v="4"/>
    <x v="1"/>
    <x v="1"/>
    <n v="35.96"/>
    <n v="7.81"/>
    <n v="1"/>
    <x v="0"/>
    <s v="24+ hrs"/>
    <s v="4+ hrs"/>
    <n v="35.960000000079162"/>
    <s v="Dissatisfied"/>
  </r>
  <r>
    <x v="57"/>
    <d v="2025-04-01T00:00:00"/>
    <d v="2025-04-01T03:19:48"/>
    <x v="1"/>
    <x v="2"/>
    <x v="3"/>
    <x v="2"/>
    <x v="1"/>
    <n v="3.33"/>
    <n v="1.72"/>
    <n v="2"/>
    <x v="1"/>
    <s v="0-4 hrs"/>
    <s v="1-2 hrs"/>
    <n v="3.3299999999580905"/>
    <s v="Dissatisfied"/>
  </r>
  <r>
    <x v="58"/>
    <d v="2025-02-06T00:00:00"/>
    <d v="2025-02-07T02:48:00"/>
    <x v="1"/>
    <x v="2"/>
    <x v="2"/>
    <x v="2"/>
    <x v="0"/>
    <n v="26.8"/>
    <n v="3.02"/>
    <n v="5"/>
    <x v="0"/>
    <s v="24+ hrs"/>
    <s v="2-4 hrs"/>
    <n v="26.800000000046566"/>
    <s v="Satisfied"/>
  </r>
  <r>
    <x v="59"/>
    <d v="2025-02-24T00:00:00"/>
    <d v="2025-02-24T17:00:00"/>
    <x v="0"/>
    <x v="3"/>
    <x v="0"/>
    <x v="0"/>
    <x v="0"/>
    <n v="17"/>
    <n v="7.54"/>
    <n v="2"/>
    <x v="0"/>
    <s v="8-24 hrs"/>
    <s v="4+ hrs"/>
    <n v="17.000000000232831"/>
    <s v="Dissatisfied"/>
  </r>
  <r>
    <x v="60"/>
    <d v="2025-01-04T00:00:00"/>
    <d v="2025-01-04T12:07:48"/>
    <x v="1"/>
    <x v="2"/>
    <x v="3"/>
    <x v="2"/>
    <x v="0"/>
    <n v="12.13"/>
    <n v="1.18"/>
    <n v="5"/>
    <x v="0"/>
    <s v="8-24 hrs"/>
    <s v="1-2 hrs"/>
    <n v="12.130000000004657"/>
    <s v="Satisfied"/>
  </r>
  <r>
    <x v="61"/>
    <d v="2025-03-05T00:00:00"/>
    <d v="2025-03-05T23:42:00"/>
    <x v="1"/>
    <x v="2"/>
    <x v="3"/>
    <x v="0"/>
    <x v="0"/>
    <n v="23.7"/>
    <n v="4.4000000000000004"/>
    <n v="1"/>
    <x v="0"/>
    <s v="8-24 hrs"/>
    <s v="4+ hrs"/>
    <n v="23.700000000069849"/>
    <s v="Dissatisfied"/>
  </r>
  <r>
    <x v="62"/>
    <d v="2025-01-24T00:00:00"/>
    <d v="2025-01-24T19:27:00"/>
    <x v="1"/>
    <x v="2"/>
    <x v="3"/>
    <x v="1"/>
    <x v="1"/>
    <n v="19.45"/>
    <n v="0.97"/>
    <n v="1"/>
    <x v="1"/>
    <s v="8-24 hrs"/>
    <s v="0-1 hr"/>
    <n v="19.450000000011642"/>
    <s v="Dissatisfied"/>
  </r>
  <r>
    <x v="63"/>
    <d v="2025-03-08T00:00:00"/>
    <d v="2025-03-08T16:04:48"/>
    <x v="0"/>
    <x v="2"/>
    <x v="1"/>
    <x v="0"/>
    <x v="0"/>
    <n v="16.079999999999998"/>
    <n v="1.48"/>
    <n v="4"/>
    <x v="0"/>
    <s v="8-24 hrs"/>
    <s v="1-2 hrs"/>
    <n v="16.07999999995809"/>
    <s v="Satisfied"/>
  </r>
  <r>
    <x v="64"/>
    <d v="2025-02-20T00:00:00"/>
    <d v="2025-02-20T23:56:24"/>
    <x v="2"/>
    <x v="1"/>
    <x v="3"/>
    <x v="0"/>
    <x v="1"/>
    <n v="23.94"/>
    <n v="2.15"/>
    <n v="4"/>
    <x v="1"/>
    <s v="8-24 hrs"/>
    <s v="2-4 hrs"/>
    <n v="23.939999999944121"/>
    <s v="Satisfied"/>
  </r>
  <r>
    <x v="65"/>
    <d v="2025-01-28T00:00:00"/>
    <d v="2025-01-28T05:10:48"/>
    <x v="0"/>
    <x v="3"/>
    <x v="0"/>
    <x v="2"/>
    <x v="0"/>
    <n v="5.18"/>
    <n v="4.04"/>
    <n v="5"/>
    <x v="0"/>
    <s v="4-8 hrs"/>
    <s v="4+ hrs"/>
    <n v="5.1800000002258457"/>
    <s v="Satisfied"/>
  </r>
  <r>
    <x v="66"/>
    <d v="2025-01-12T00:00:00"/>
    <d v="2025-01-12T03:36:36"/>
    <x v="0"/>
    <x v="0"/>
    <x v="3"/>
    <x v="1"/>
    <x v="1"/>
    <n v="3.61"/>
    <n v="7.52"/>
    <n v="3"/>
    <x v="1"/>
    <s v="0-4 hrs"/>
    <s v="4+ hrs"/>
    <n v="3.6099999997531995"/>
    <s v="Neutral"/>
  </r>
  <r>
    <x v="67"/>
    <d v="2025-01-30T00:00:00"/>
    <d v="2025-01-31T02:40:12"/>
    <x v="1"/>
    <x v="3"/>
    <x v="2"/>
    <x v="2"/>
    <x v="1"/>
    <n v="26.67"/>
    <n v="1.32"/>
    <n v="2"/>
    <x v="0"/>
    <s v="24+ hrs"/>
    <s v="1-2 hrs"/>
    <n v="26.67000000004191"/>
    <s v="Dissatisfied"/>
  </r>
  <r>
    <x v="68"/>
    <d v="2025-03-21T00:00:00"/>
    <d v="2025-03-22T08:40:48"/>
    <x v="0"/>
    <x v="0"/>
    <x v="1"/>
    <x v="2"/>
    <x v="0"/>
    <n v="32.68"/>
    <n v="4.21"/>
    <n v="2"/>
    <x v="0"/>
    <s v="24+ hrs"/>
    <s v="4+ hrs"/>
    <n v="32.679999999760184"/>
    <s v="Dissatisfied"/>
  </r>
  <r>
    <x v="69"/>
    <d v="2025-03-30T00:00:00"/>
    <d v="2025-03-31T13:36:36"/>
    <x v="3"/>
    <x v="3"/>
    <x v="4"/>
    <x v="2"/>
    <x v="1"/>
    <n v="37.61"/>
    <n v="3.72"/>
    <n v="1"/>
    <x v="0"/>
    <s v="24+ hrs"/>
    <s v="2-4 hrs"/>
    <n v="37.610000000218861"/>
    <s v="Dissatisfied"/>
  </r>
  <r>
    <x v="70"/>
    <d v="2025-02-07T00:00:00"/>
    <d v="2025-02-07T16:12:00"/>
    <x v="2"/>
    <x v="2"/>
    <x v="2"/>
    <x v="0"/>
    <x v="2"/>
    <n v="16.2"/>
    <n v="1.25"/>
    <n v="2"/>
    <x v="0"/>
    <s v="8-24 hrs"/>
    <s v="1-2 hrs"/>
    <n v="16.200000000069849"/>
    <s v="Dissatisfied"/>
  </r>
  <r>
    <x v="71"/>
    <d v="2025-02-18T00:00:00"/>
    <d v="2025-02-19T01:12:36"/>
    <x v="0"/>
    <x v="2"/>
    <x v="1"/>
    <x v="1"/>
    <x v="0"/>
    <n v="25.21"/>
    <n v="2.7"/>
    <n v="2"/>
    <x v="0"/>
    <s v="24+ hrs"/>
    <s v="2-4 hrs"/>
    <n v="25.21000000013737"/>
    <s v="Dissatisfied"/>
  </r>
  <r>
    <x v="72"/>
    <d v="2025-03-14T00:00:00"/>
    <d v="2025-03-15T14:31:12"/>
    <x v="1"/>
    <x v="1"/>
    <x v="4"/>
    <x v="0"/>
    <x v="0"/>
    <n v="38.520000000000003"/>
    <n v="1.17"/>
    <n v="2"/>
    <x v="0"/>
    <s v="24+ hrs"/>
    <s v="1-2 hrs"/>
    <n v="38.520000000076834"/>
    <s v="Dissatisfied"/>
  </r>
  <r>
    <x v="73"/>
    <d v="2025-03-15T00:00:00"/>
    <d v="2025-03-16T07:21:36"/>
    <x v="3"/>
    <x v="3"/>
    <x v="1"/>
    <x v="2"/>
    <x v="1"/>
    <n v="31.36"/>
    <n v="2.33"/>
    <n v="5"/>
    <x v="0"/>
    <s v="24+ hrs"/>
    <s v="2-4 hrs"/>
    <n v="31.3599999997532"/>
    <s v="Satisfied"/>
  </r>
  <r>
    <x v="74"/>
    <d v="2025-02-02T00:00:00"/>
    <d v="2025-02-02T18:22:48"/>
    <x v="2"/>
    <x v="2"/>
    <x v="0"/>
    <x v="2"/>
    <x v="2"/>
    <n v="18.38"/>
    <n v="1.94"/>
    <n v="5"/>
    <x v="0"/>
    <s v="8-24 hrs"/>
    <s v="1-2 hrs"/>
    <n v="18.379999999946449"/>
    <s v="Satisfied"/>
  </r>
  <r>
    <x v="75"/>
    <d v="2025-01-12T00:00:00"/>
    <d v="2025-01-13T05:17:24"/>
    <x v="3"/>
    <x v="0"/>
    <x v="2"/>
    <x v="0"/>
    <x v="2"/>
    <n v="29.29"/>
    <n v="5.03"/>
    <n v="3"/>
    <x v="0"/>
    <s v="24+ hrs"/>
    <s v="4+ hrs"/>
    <n v="29.289999999920838"/>
    <s v="Neutral"/>
  </r>
  <r>
    <x v="76"/>
    <d v="2025-01-21T00:00:00"/>
    <d v="2025-01-21T03:08:24"/>
    <x v="0"/>
    <x v="3"/>
    <x v="1"/>
    <x v="1"/>
    <x v="1"/>
    <n v="3.14"/>
    <n v="1.53"/>
    <n v="5"/>
    <x v="1"/>
    <s v="0-4 hrs"/>
    <s v="1-2 hrs"/>
    <n v="3.1400000002468005"/>
    <s v="Satisfied"/>
  </r>
  <r>
    <x v="77"/>
    <d v="2025-03-28T00:00:00"/>
    <d v="2025-03-28T17:52:12"/>
    <x v="3"/>
    <x v="2"/>
    <x v="4"/>
    <x v="1"/>
    <x v="1"/>
    <n v="17.87"/>
    <n v="4.47"/>
    <n v="2"/>
    <x v="1"/>
    <s v="8-24 hrs"/>
    <s v="4+ hrs"/>
    <n v="17.869999999995343"/>
    <s v="Dissatisfied"/>
  </r>
  <r>
    <x v="78"/>
    <d v="2025-03-01T00:00:00"/>
    <d v="2025-03-02T17:42:36"/>
    <x v="3"/>
    <x v="3"/>
    <x v="4"/>
    <x v="2"/>
    <x v="2"/>
    <n v="41.71"/>
    <n v="3.66"/>
    <n v="1"/>
    <x v="0"/>
    <s v="24+ hrs"/>
    <s v="2-4 hrs"/>
    <n v="41.71000000013737"/>
    <s v="Dissatisfied"/>
  </r>
  <r>
    <x v="79"/>
    <d v="2025-02-10T00:00:00"/>
    <d v="2025-02-10T01:28:12"/>
    <x v="3"/>
    <x v="0"/>
    <x v="4"/>
    <x v="1"/>
    <x v="0"/>
    <n v="1.47"/>
    <n v="0.63"/>
    <n v="3"/>
    <x v="1"/>
    <s v="0-4 hrs"/>
    <s v="0-1 hr"/>
    <n v="1.4699999999720603"/>
    <s v="Neutral"/>
  </r>
  <r>
    <x v="80"/>
    <d v="2025-02-04T00:00:00"/>
    <d v="2025-02-04T04:21:00"/>
    <x v="0"/>
    <x v="2"/>
    <x v="0"/>
    <x v="1"/>
    <x v="1"/>
    <n v="4.3499999999999996"/>
    <n v="2.78"/>
    <n v="1"/>
    <x v="1"/>
    <s v="4-8 hrs"/>
    <s v="2-4 hrs"/>
    <n v="4.3500000000349246"/>
    <s v="Dissatisfied"/>
  </r>
  <r>
    <x v="81"/>
    <d v="2025-01-05T00:00:00"/>
    <d v="2025-01-05T11:52:12"/>
    <x v="3"/>
    <x v="1"/>
    <x v="2"/>
    <x v="1"/>
    <x v="1"/>
    <n v="11.87"/>
    <n v="3.69"/>
    <n v="5"/>
    <x v="1"/>
    <s v="8-24 hrs"/>
    <s v="2-4 hrs"/>
    <n v="11.869999999995343"/>
    <s v="Satisfied"/>
  </r>
  <r>
    <x v="82"/>
    <d v="2025-03-31T00:00:00"/>
    <d v="2025-04-01T07:22:12"/>
    <x v="3"/>
    <x v="2"/>
    <x v="1"/>
    <x v="2"/>
    <x v="1"/>
    <n v="31.37"/>
    <n v="3.93"/>
    <n v="5"/>
    <x v="0"/>
    <s v="24+ hrs"/>
    <s v="2-4 hrs"/>
    <n v="31.369999999995343"/>
    <s v="Satisfied"/>
  </r>
  <r>
    <x v="83"/>
    <d v="2025-01-31T00:00:00"/>
    <d v="2025-02-01T18:40:48"/>
    <x v="0"/>
    <x v="2"/>
    <x v="4"/>
    <x v="0"/>
    <x v="1"/>
    <n v="42.68"/>
    <n v="5.71"/>
    <n v="4"/>
    <x v="0"/>
    <s v="24+ hrs"/>
    <s v="4+ hrs"/>
    <n v="42.680000000225846"/>
    <s v="Satisfied"/>
  </r>
  <r>
    <x v="84"/>
    <d v="2025-01-20T00:00:00"/>
    <d v="2025-01-20T09:39:36"/>
    <x v="3"/>
    <x v="2"/>
    <x v="2"/>
    <x v="0"/>
    <x v="0"/>
    <n v="9.66"/>
    <n v="1.65"/>
    <n v="1"/>
    <x v="0"/>
    <s v="8-24 hrs"/>
    <s v="1-2 hrs"/>
    <n v="9.659999999916181"/>
    <s v="Dissatisfied"/>
  </r>
  <r>
    <x v="85"/>
    <d v="2025-03-01T00:00:00"/>
    <d v="2025-03-01T22:18:36"/>
    <x v="0"/>
    <x v="1"/>
    <x v="4"/>
    <x v="1"/>
    <x v="1"/>
    <n v="22.31"/>
    <n v="3.54"/>
    <n v="2"/>
    <x v="1"/>
    <s v="8-24 hrs"/>
    <s v="2-4 hrs"/>
    <n v="22.309999999939464"/>
    <s v="Dissatisfied"/>
  </r>
  <r>
    <x v="86"/>
    <d v="2025-03-29T00:00:00"/>
    <d v="2025-03-29T06:13:12"/>
    <x v="1"/>
    <x v="0"/>
    <x v="2"/>
    <x v="1"/>
    <x v="2"/>
    <n v="6.22"/>
    <n v="3.95"/>
    <n v="2"/>
    <x v="1"/>
    <s v="4-8 hrs"/>
    <s v="2-4 hrs"/>
    <n v="6.2199999999138527"/>
    <s v="Dissatisfied"/>
  </r>
  <r>
    <x v="87"/>
    <d v="2025-03-30T00:00:00"/>
    <d v="2025-03-31T11:09:36"/>
    <x v="3"/>
    <x v="3"/>
    <x v="3"/>
    <x v="0"/>
    <x v="0"/>
    <n v="35.159999999999997"/>
    <n v="7.79"/>
    <n v="4"/>
    <x v="0"/>
    <s v="24+ hrs"/>
    <s v="4+ hrs"/>
    <n v="35.159999999916181"/>
    <s v="Satisfied"/>
  </r>
  <r>
    <x v="88"/>
    <d v="2025-03-01T00:00:00"/>
    <d v="2025-03-01T02:25:12"/>
    <x v="2"/>
    <x v="3"/>
    <x v="4"/>
    <x v="2"/>
    <x v="1"/>
    <n v="2.42"/>
    <n v="4.37"/>
    <n v="4"/>
    <x v="1"/>
    <s v="0-4 hrs"/>
    <s v="4+ hrs"/>
    <n v="2.4199999999254942"/>
    <s v="Satisfied"/>
  </r>
  <r>
    <x v="89"/>
    <d v="2025-02-27T00:00:00"/>
    <d v="2025-02-27T01:41:24"/>
    <x v="1"/>
    <x v="1"/>
    <x v="0"/>
    <x v="0"/>
    <x v="2"/>
    <n v="1.69"/>
    <n v="6.98"/>
    <n v="5"/>
    <x v="1"/>
    <s v="0-4 hrs"/>
    <s v="4+ hrs"/>
    <n v="1.690000000060536"/>
    <s v="Satisfied"/>
  </r>
  <r>
    <x v="90"/>
    <d v="2025-01-20T00:00:00"/>
    <d v="2025-01-21T19:21:00"/>
    <x v="3"/>
    <x v="1"/>
    <x v="4"/>
    <x v="1"/>
    <x v="0"/>
    <n v="43.35"/>
    <n v="7.04"/>
    <n v="3"/>
    <x v="0"/>
    <s v="24+ hrs"/>
    <s v="4+ hrs"/>
    <n v="43.350000000034925"/>
    <s v="Neutral"/>
  </r>
  <r>
    <x v="91"/>
    <d v="2025-01-09T00:00:00"/>
    <d v="2025-01-10T01:18:00"/>
    <x v="2"/>
    <x v="0"/>
    <x v="4"/>
    <x v="1"/>
    <x v="2"/>
    <n v="25.3"/>
    <n v="5.27"/>
    <n v="4"/>
    <x v="0"/>
    <s v="24+ hrs"/>
    <s v="4+ hrs"/>
    <n v="25.300000000046566"/>
    <s v="Satisfied"/>
  </r>
  <r>
    <x v="92"/>
    <d v="2025-03-01T00:00:00"/>
    <d v="2025-03-01T21:27:00"/>
    <x v="2"/>
    <x v="2"/>
    <x v="1"/>
    <x v="1"/>
    <x v="2"/>
    <n v="21.45"/>
    <n v="5.7"/>
    <n v="2"/>
    <x v="0"/>
    <s v="8-24 hrs"/>
    <s v="4+ hrs"/>
    <n v="21.450000000069849"/>
    <s v="Dissatisfied"/>
  </r>
  <r>
    <x v="93"/>
    <d v="2025-03-09T00:00:00"/>
    <d v="2025-03-09T02:06:36"/>
    <x v="0"/>
    <x v="2"/>
    <x v="0"/>
    <x v="1"/>
    <x v="0"/>
    <n v="2.11"/>
    <n v="4.0999999999999996"/>
    <n v="5"/>
    <x v="1"/>
    <s v="0-4 hrs"/>
    <s v="4+ hrs"/>
    <n v="2.1099999997531995"/>
    <s v="Satisfied"/>
  </r>
  <r>
    <x v="94"/>
    <d v="2025-01-23T00:00:00"/>
    <d v="2025-01-24T15:42:00"/>
    <x v="1"/>
    <x v="3"/>
    <x v="4"/>
    <x v="1"/>
    <x v="1"/>
    <n v="39.700000000000003"/>
    <n v="4.26"/>
    <n v="1"/>
    <x v="0"/>
    <s v="24+ hrs"/>
    <s v="4+ hrs"/>
    <n v="39.700000000011642"/>
    <s v="Dissatisfied"/>
  </r>
  <r>
    <x v="95"/>
    <d v="2025-01-24T00:00:00"/>
    <d v="2025-01-24T02:45:36"/>
    <x v="1"/>
    <x v="0"/>
    <x v="2"/>
    <x v="2"/>
    <x v="0"/>
    <n v="2.76"/>
    <n v="7.35"/>
    <n v="3"/>
    <x v="1"/>
    <s v="0-4 hrs"/>
    <s v="4+ hrs"/>
    <n v="2.7599999999511056"/>
    <s v="Neutral"/>
  </r>
  <r>
    <x v="96"/>
    <d v="2025-03-09T00:00:00"/>
    <d v="2025-03-10T15:47:24"/>
    <x v="2"/>
    <x v="3"/>
    <x v="0"/>
    <x v="0"/>
    <x v="1"/>
    <n v="39.79"/>
    <n v="5.72"/>
    <n v="1"/>
    <x v="0"/>
    <s v="24+ hrs"/>
    <s v="4+ hrs"/>
    <n v="39.789999999920838"/>
    <s v="Dissatisfied"/>
  </r>
  <r>
    <x v="97"/>
    <d v="2025-03-25T00:00:00"/>
    <d v="2025-03-26T23:57:00"/>
    <x v="3"/>
    <x v="0"/>
    <x v="3"/>
    <x v="1"/>
    <x v="2"/>
    <n v="47.95"/>
    <n v="2.1"/>
    <n v="3"/>
    <x v="0"/>
    <s v="24+ hrs"/>
    <s v="2-4 hrs"/>
    <n v="47.950000000011642"/>
    <s v="Neutral"/>
  </r>
  <r>
    <x v="98"/>
    <d v="2025-03-16T00:00:00"/>
    <d v="2025-03-16T04:39:00"/>
    <x v="3"/>
    <x v="1"/>
    <x v="2"/>
    <x v="2"/>
    <x v="2"/>
    <n v="4.6500000000000004"/>
    <n v="6.75"/>
    <n v="3"/>
    <x v="1"/>
    <s v="4-8 hrs"/>
    <s v="4+ hrs"/>
    <n v="4.6499999999650754"/>
    <s v="Neutral"/>
  </r>
  <r>
    <x v="99"/>
    <d v="2025-03-09T00:00:00"/>
    <d v="2025-03-09T20:15:36"/>
    <x v="0"/>
    <x v="1"/>
    <x v="4"/>
    <x v="0"/>
    <x v="2"/>
    <n v="20.260000000000002"/>
    <n v="5.46"/>
    <n v="3"/>
    <x v="0"/>
    <s v="8-24 hrs"/>
    <s v="4+ hrs"/>
    <n v="20.260000000067521"/>
    <s v="Neutral"/>
  </r>
  <r>
    <x v="100"/>
    <d v="2025-03-05T00:00:00"/>
    <d v="2025-03-05T23:57:00"/>
    <x v="1"/>
    <x v="2"/>
    <x v="2"/>
    <x v="2"/>
    <x v="0"/>
    <n v="23.95"/>
    <n v="6.76"/>
    <n v="4"/>
    <x v="0"/>
    <s v="8-24 hrs"/>
    <s v="4+ hrs"/>
    <n v="23.950000000011642"/>
    <s v="Satisfied"/>
  </r>
  <r>
    <x v="101"/>
    <d v="2025-01-03T00:00:00"/>
    <d v="2025-01-03T03:10:48"/>
    <x v="1"/>
    <x v="1"/>
    <x v="0"/>
    <x v="0"/>
    <x v="0"/>
    <n v="3.18"/>
    <n v="2.56"/>
    <n v="1"/>
    <x v="1"/>
    <s v="0-4 hrs"/>
    <s v="2-4 hrs"/>
    <n v="3.1799999999930151"/>
    <s v="Dissatisfied"/>
  </r>
  <r>
    <x v="102"/>
    <d v="2025-02-01T00:00:00"/>
    <d v="2025-02-01T04:41:24"/>
    <x v="0"/>
    <x v="0"/>
    <x v="0"/>
    <x v="0"/>
    <x v="0"/>
    <n v="4.6900000000000004"/>
    <n v="5.38"/>
    <n v="2"/>
    <x v="0"/>
    <s v="4-8 hrs"/>
    <s v="4+ hrs"/>
    <n v="4.690000000060536"/>
    <s v="Dissatisfied"/>
  </r>
  <r>
    <x v="103"/>
    <d v="2025-02-05T00:00:00"/>
    <d v="2025-02-06T00:12:36"/>
    <x v="3"/>
    <x v="3"/>
    <x v="4"/>
    <x v="0"/>
    <x v="0"/>
    <n v="24.21"/>
    <n v="7.54"/>
    <n v="4"/>
    <x v="0"/>
    <s v="24+ hrs"/>
    <s v="4+ hrs"/>
    <n v="24.210000000020955"/>
    <s v="Satisfied"/>
  </r>
  <r>
    <x v="104"/>
    <d v="2025-03-16T00:00:00"/>
    <d v="2025-03-17T03:31:48"/>
    <x v="2"/>
    <x v="0"/>
    <x v="3"/>
    <x v="2"/>
    <x v="2"/>
    <n v="27.53"/>
    <n v="2.6"/>
    <n v="1"/>
    <x v="0"/>
    <s v="24+ hrs"/>
    <s v="2-4 hrs"/>
    <n v="27.530000000086147"/>
    <s v="Dissatisfied"/>
  </r>
  <r>
    <x v="105"/>
    <d v="2025-02-07T00:00:00"/>
    <d v="2025-02-08T08:49:12"/>
    <x v="0"/>
    <x v="0"/>
    <x v="3"/>
    <x v="2"/>
    <x v="0"/>
    <n v="32.82"/>
    <n v="2.2799999999999998"/>
    <n v="2"/>
    <x v="0"/>
    <s v="24+ hrs"/>
    <s v="2-4 hrs"/>
    <n v="32.820000000006985"/>
    <s v="Dissatisfied"/>
  </r>
  <r>
    <x v="106"/>
    <d v="2025-03-05T00:00:00"/>
    <d v="2025-03-05T11:06:00"/>
    <x v="1"/>
    <x v="3"/>
    <x v="1"/>
    <x v="2"/>
    <x v="1"/>
    <n v="11.1"/>
    <n v="5.36"/>
    <n v="5"/>
    <x v="1"/>
    <s v="8-24 hrs"/>
    <s v="4+ hrs"/>
    <n v="11.100000000034925"/>
    <s v="Satisfied"/>
  </r>
  <r>
    <x v="107"/>
    <d v="2025-03-24T00:00:00"/>
    <d v="2025-03-25T02:00:36"/>
    <x v="1"/>
    <x v="2"/>
    <x v="4"/>
    <x v="2"/>
    <x v="2"/>
    <n v="26.01"/>
    <n v="6.62"/>
    <n v="2"/>
    <x v="0"/>
    <s v="24+ hrs"/>
    <s v="4+ hrs"/>
    <n v="26.009999999951106"/>
    <s v="Dissatisfied"/>
  </r>
  <r>
    <x v="108"/>
    <d v="2025-01-23T00:00:00"/>
    <d v="2025-01-24T08:28:48"/>
    <x v="3"/>
    <x v="0"/>
    <x v="0"/>
    <x v="0"/>
    <x v="1"/>
    <n v="32.479999999999997"/>
    <n v="6.18"/>
    <n v="5"/>
    <x v="0"/>
    <s v="24+ hrs"/>
    <s v="4+ hrs"/>
    <n v="32.479999999981374"/>
    <s v="Satisfied"/>
  </r>
  <r>
    <x v="109"/>
    <d v="2025-01-22T00:00:00"/>
    <d v="2025-01-23T01:01:12"/>
    <x v="0"/>
    <x v="1"/>
    <x v="4"/>
    <x v="1"/>
    <x v="0"/>
    <n v="25.02"/>
    <n v="1.0900000000000001"/>
    <n v="2"/>
    <x v="0"/>
    <s v="24+ hrs"/>
    <s v="1-2 hrs"/>
    <n v="25.020000000076834"/>
    <s v="Dissatisfied"/>
  </r>
  <r>
    <x v="110"/>
    <d v="2025-02-17T00:00:00"/>
    <d v="2025-02-17T12:04:48"/>
    <x v="0"/>
    <x v="2"/>
    <x v="1"/>
    <x v="1"/>
    <x v="2"/>
    <n v="12.08"/>
    <n v="1.91"/>
    <n v="2"/>
    <x v="0"/>
    <s v="8-24 hrs"/>
    <s v="1-2 hrs"/>
    <n v="12.079999999841675"/>
    <s v="Dissatisfied"/>
  </r>
  <r>
    <x v="111"/>
    <d v="2025-02-17T00:00:00"/>
    <d v="2025-02-17T14:22:12"/>
    <x v="2"/>
    <x v="0"/>
    <x v="4"/>
    <x v="2"/>
    <x v="2"/>
    <n v="14.37"/>
    <n v="5.0599999999999996"/>
    <n v="4"/>
    <x v="0"/>
    <s v="8-24 hrs"/>
    <s v="4+ hrs"/>
    <n v="14.369999999937136"/>
    <s v="Satisfied"/>
  </r>
  <r>
    <x v="112"/>
    <d v="2025-01-23T00:00:00"/>
    <d v="2025-01-24T07:28:48"/>
    <x v="1"/>
    <x v="2"/>
    <x v="0"/>
    <x v="0"/>
    <x v="0"/>
    <n v="31.48"/>
    <n v="0.93"/>
    <n v="4"/>
    <x v="0"/>
    <s v="24+ hrs"/>
    <s v="0-1 hr"/>
    <n v="31.480000000039581"/>
    <s v="Satisfied"/>
  </r>
  <r>
    <x v="113"/>
    <d v="2025-02-07T00:00:00"/>
    <d v="2025-02-08T15:59:24"/>
    <x v="1"/>
    <x v="3"/>
    <x v="3"/>
    <x v="1"/>
    <x v="1"/>
    <n v="39.99"/>
    <n v="6.65"/>
    <n v="3"/>
    <x v="0"/>
    <s v="24+ hrs"/>
    <s v="4+ hrs"/>
    <n v="39.990000000048894"/>
    <s v="Neutral"/>
  </r>
  <r>
    <x v="114"/>
    <d v="2025-02-26T00:00:00"/>
    <d v="2025-02-27T10:25:12"/>
    <x v="1"/>
    <x v="1"/>
    <x v="2"/>
    <x v="0"/>
    <x v="1"/>
    <n v="34.42"/>
    <n v="6.67"/>
    <n v="5"/>
    <x v="0"/>
    <s v="24+ hrs"/>
    <s v="4+ hrs"/>
    <n v="34.420000000158325"/>
    <s v="Satisfied"/>
  </r>
  <r>
    <x v="115"/>
    <d v="2025-02-14T00:00:00"/>
    <d v="2025-02-15T13:44:24"/>
    <x v="3"/>
    <x v="2"/>
    <x v="3"/>
    <x v="0"/>
    <x v="1"/>
    <n v="37.74"/>
    <n v="5.14"/>
    <n v="3"/>
    <x v="0"/>
    <s v="24+ hrs"/>
    <s v="4+ hrs"/>
    <n v="37.740000000048894"/>
    <s v="Neutral"/>
  </r>
  <r>
    <x v="116"/>
    <d v="2025-01-07T00:00:00"/>
    <d v="2025-01-08T08:58:12"/>
    <x v="2"/>
    <x v="3"/>
    <x v="2"/>
    <x v="2"/>
    <x v="1"/>
    <n v="32.97"/>
    <n v="1.24"/>
    <n v="4"/>
    <x v="0"/>
    <s v="24+ hrs"/>
    <s v="1-2 hrs"/>
    <n v="32.96999999997206"/>
    <s v="Satisfied"/>
  </r>
  <r>
    <x v="117"/>
    <d v="2025-01-21T00:00:00"/>
    <d v="2025-01-22T22:26:24"/>
    <x v="2"/>
    <x v="3"/>
    <x v="3"/>
    <x v="2"/>
    <x v="2"/>
    <n v="46.44"/>
    <n v="1.25"/>
    <n v="5"/>
    <x v="0"/>
    <s v="24+ hrs"/>
    <s v="1-2 hrs"/>
    <n v="46.439999999944121"/>
    <s v="Satisfied"/>
  </r>
  <r>
    <x v="118"/>
    <d v="2025-03-25T00:00:00"/>
    <d v="2025-03-26T17:01:48"/>
    <x v="1"/>
    <x v="2"/>
    <x v="3"/>
    <x v="2"/>
    <x v="1"/>
    <n v="41.03"/>
    <n v="7"/>
    <n v="1"/>
    <x v="0"/>
    <s v="24+ hrs"/>
    <s v="4+ hrs"/>
    <n v="41.030000000086147"/>
    <s v="Dissatisfied"/>
  </r>
  <r>
    <x v="119"/>
    <d v="2025-01-31T00:00:00"/>
    <d v="2025-02-01T10:18:36"/>
    <x v="1"/>
    <x v="2"/>
    <x v="3"/>
    <x v="0"/>
    <x v="0"/>
    <n v="34.31"/>
    <n v="6.51"/>
    <n v="5"/>
    <x v="0"/>
    <s v="24+ hrs"/>
    <s v="4+ hrs"/>
    <n v="34.309999999939464"/>
    <s v="Satisfied"/>
  </r>
  <r>
    <x v="120"/>
    <d v="2025-03-03T00:00:00"/>
    <d v="2025-03-04T13:24:36"/>
    <x v="0"/>
    <x v="1"/>
    <x v="2"/>
    <x v="1"/>
    <x v="0"/>
    <n v="37.409999999999997"/>
    <n v="7.17"/>
    <n v="5"/>
    <x v="0"/>
    <s v="24+ hrs"/>
    <s v="4+ hrs"/>
    <n v="37.409999999916181"/>
    <s v="Satisfied"/>
  </r>
  <r>
    <x v="121"/>
    <d v="2025-01-26T00:00:00"/>
    <d v="2025-01-26T18:10:48"/>
    <x v="3"/>
    <x v="1"/>
    <x v="1"/>
    <x v="1"/>
    <x v="2"/>
    <n v="18.18"/>
    <n v="7.69"/>
    <n v="3"/>
    <x v="0"/>
    <s v="8-24 hrs"/>
    <s v="4+ hrs"/>
    <n v="18.179999999993015"/>
    <s v="Neutral"/>
  </r>
  <r>
    <x v="122"/>
    <d v="2025-03-15T00:00:00"/>
    <d v="2025-03-16T07:22:12"/>
    <x v="0"/>
    <x v="3"/>
    <x v="2"/>
    <x v="0"/>
    <x v="0"/>
    <n v="31.37"/>
    <n v="7.18"/>
    <n v="1"/>
    <x v="0"/>
    <s v="24+ hrs"/>
    <s v="4+ hrs"/>
    <n v="31.369999999995343"/>
    <s v="Dissatisfied"/>
  </r>
  <r>
    <x v="123"/>
    <d v="2025-02-10T00:00:00"/>
    <d v="2025-02-11T02:11:24"/>
    <x v="2"/>
    <x v="2"/>
    <x v="4"/>
    <x v="0"/>
    <x v="0"/>
    <n v="26.19"/>
    <n v="3.18"/>
    <n v="5"/>
    <x v="0"/>
    <s v="24+ hrs"/>
    <s v="2-4 hrs"/>
    <n v="26.189999999944121"/>
    <s v="Satisfied"/>
  </r>
  <r>
    <x v="124"/>
    <d v="2025-01-09T00:00:00"/>
    <d v="2025-01-09T07:25:12"/>
    <x v="0"/>
    <x v="0"/>
    <x v="2"/>
    <x v="1"/>
    <x v="0"/>
    <n v="7.42"/>
    <n v="5.13"/>
    <n v="3"/>
    <x v="0"/>
    <s v="4-8 hrs"/>
    <s v="4+ hrs"/>
    <n v="7.4200000001583248"/>
    <s v="Neutral"/>
  </r>
  <r>
    <x v="125"/>
    <d v="2025-03-06T00:00:00"/>
    <d v="2025-03-06T18:06:36"/>
    <x v="3"/>
    <x v="2"/>
    <x v="2"/>
    <x v="0"/>
    <x v="0"/>
    <n v="18.11"/>
    <n v="2.68"/>
    <n v="5"/>
    <x v="0"/>
    <s v="8-24 hrs"/>
    <s v="2-4 hrs"/>
    <n v="18.110000000218861"/>
    <s v="Satisfied"/>
  </r>
  <r>
    <x v="126"/>
    <d v="2025-03-05T00:00:00"/>
    <d v="2025-03-05T19:06:00"/>
    <x v="2"/>
    <x v="0"/>
    <x v="1"/>
    <x v="0"/>
    <x v="2"/>
    <n v="19.100000000000001"/>
    <n v="1.67"/>
    <n v="1"/>
    <x v="0"/>
    <s v="8-24 hrs"/>
    <s v="1-2 hrs"/>
    <n v="19.099999999918509"/>
    <s v="Dissatisfied"/>
  </r>
  <r>
    <x v="127"/>
    <d v="2025-01-12T00:00:00"/>
    <d v="2025-01-13T05:30:00"/>
    <x v="1"/>
    <x v="2"/>
    <x v="2"/>
    <x v="0"/>
    <x v="2"/>
    <n v="29.5"/>
    <n v="4.22"/>
    <n v="5"/>
    <x v="0"/>
    <s v="24+ hrs"/>
    <s v="4+ hrs"/>
    <n v="29.499999999767169"/>
    <s v="Satisfied"/>
  </r>
  <r>
    <x v="128"/>
    <d v="2025-01-17T00:00:00"/>
    <d v="2025-01-18T01:09:36"/>
    <x v="2"/>
    <x v="3"/>
    <x v="1"/>
    <x v="1"/>
    <x v="1"/>
    <n v="25.16"/>
    <n v="6.69"/>
    <n v="4"/>
    <x v="0"/>
    <s v="24+ hrs"/>
    <s v="4+ hrs"/>
    <n v="25.159999999974389"/>
    <s v="Satisfied"/>
  </r>
  <r>
    <x v="129"/>
    <d v="2025-03-22T00:00:00"/>
    <d v="2025-03-22T13:06:36"/>
    <x v="2"/>
    <x v="0"/>
    <x v="0"/>
    <x v="2"/>
    <x v="0"/>
    <n v="13.11"/>
    <n v="5.92"/>
    <n v="1"/>
    <x v="0"/>
    <s v="8-24 hrs"/>
    <s v="4+ hrs"/>
    <n v="13.10999999998603"/>
    <s v="Dissatisfied"/>
  </r>
  <r>
    <x v="130"/>
    <d v="2025-02-15T00:00:00"/>
    <d v="2025-02-16T01:35:24"/>
    <x v="0"/>
    <x v="3"/>
    <x v="2"/>
    <x v="2"/>
    <x v="2"/>
    <n v="25.59"/>
    <n v="0.91"/>
    <n v="5"/>
    <x v="0"/>
    <s v="24+ hrs"/>
    <s v="0-1 hr"/>
    <n v="25.590000000083819"/>
    <s v="Satisfied"/>
  </r>
  <r>
    <x v="131"/>
    <d v="2025-01-20T00:00:00"/>
    <d v="2025-01-20T02:49:48"/>
    <x v="3"/>
    <x v="3"/>
    <x v="2"/>
    <x v="2"/>
    <x v="1"/>
    <n v="2.83"/>
    <n v="6.44"/>
    <n v="3"/>
    <x v="1"/>
    <s v="0-4 hrs"/>
    <s v="4+ hrs"/>
    <n v="2.8300000000745058"/>
    <s v="Neutral"/>
  </r>
  <r>
    <x v="132"/>
    <d v="2025-02-21T00:00:00"/>
    <d v="2025-02-21T12:08:24"/>
    <x v="1"/>
    <x v="1"/>
    <x v="4"/>
    <x v="1"/>
    <x v="0"/>
    <n v="12.14"/>
    <n v="2.41"/>
    <n v="4"/>
    <x v="0"/>
    <s v="8-24 hrs"/>
    <s v="2-4 hrs"/>
    <n v="12.1400000002468"/>
    <s v="Satisfied"/>
  </r>
  <r>
    <x v="133"/>
    <d v="2025-03-08T00:00:00"/>
    <d v="2025-03-08T23:18:00"/>
    <x v="3"/>
    <x v="2"/>
    <x v="1"/>
    <x v="0"/>
    <x v="1"/>
    <n v="23.3"/>
    <n v="5.25"/>
    <n v="1"/>
    <x v="1"/>
    <s v="8-24 hrs"/>
    <s v="4+ hrs"/>
    <n v="23.299999999988358"/>
    <s v="Dissatisfied"/>
  </r>
  <r>
    <x v="134"/>
    <d v="2025-03-26T00:00:00"/>
    <d v="2025-03-26T23:43:48"/>
    <x v="0"/>
    <x v="1"/>
    <x v="0"/>
    <x v="0"/>
    <x v="1"/>
    <n v="23.73"/>
    <n v="3.75"/>
    <n v="2"/>
    <x v="1"/>
    <s v="8-24 hrs"/>
    <s v="2-4 hrs"/>
    <n v="23.729999999923166"/>
    <s v="Dissatisfied"/>
  </r>
  <r>
    <x v="135"/>
    <d v="2025-02-12T00:00:00"/>
    <d v="2025-02-12T19:51:00"/>
    <x v="0"/>
    <x v="2"/>
    <x v="4"/>
    <x v="0"/>
    <x v="2"/>
    <n v="19.850000000000001"/>
    <n v="6.18"/>
    <n v="5"/>
    <x v="0"/>
    <s v="8-24 hrs"/>
    <s v="4+ hrs"/>
    <n v="19.849999999918509"/>
    <s v="Satisfied"/>
  </r>
  <r>
    <x v="136"/>
    <d v="2025-01-04T00:00:00"/>
    <d v="2025-01-04T01:58:12"/>
    <x v="1"/>
    <x v="3"/>
    <x v="1"/>
    <x v="0"/>
    <x v="0"/>
    <n v="1.97"/>
    <n v="7.23"/>
    <n v="1"/>
    <x v="1"/>
    <s v="0-4 hrs"/>
    <s v="4+ hrs"/>
    <n v="1.969999999855645"/>
    <s v="Dissatisfied"/>
  </r>
  <r>
    <x v="137"/>
    <d v="2025-01-31T00:00:00"/>
    <d v="2025-02-01T17:33:00"/>
    <x v="2"/>
    <x v="1"/>
    <x v="2"/>
    <x v="0"/>
    <x v="1"/>
    <n v="41.55"/>
    <n v="0.95"/>
    <n v="5"/>
    <x v="0"/>
    <s v="24+ hrs"/>
    <s v="0-1 hr"/>
    <n v="41.549999999930151"/>
    <s v="Satisfied"/>
  </r>
  <r>
    <x v="138"/>
    <d v="2025-01-31T00:00:00"/>
    <d v="2025-02-01T11:32:24"/>
    <x v="1"/>
    <x v="1"/>
    <x v="1"/>
    <x v="2"/>
    <x v="0"/>
    <n v="35.54"/>
    <n v="5.03"/>
    <n v="5"/>
    <x v="0"/>
    <s v="24+ hrs"/>
    <s v="4+ hrs"/>
    <n v="35.53999999986263"/>
    <s v="Satisfied"/>
  </r>
  <r>
    <x v="139"/>
    <d v="2025-03-23T00:00:00"/>
    <d v="2025-03-23T11:43:48"/>
    <x v="2"/>
    <x v="0"/>
    <x v="0"/>
    <x v="1"/>
    <x v="0"/>
    <n v="11.73"/>
    <n v="0.52"/>
    <n v="1"/>
    <x v="0"/>
    <s v="8-24 hrs"/>
    <s v="0-1 hr"/>
    <n v="11.729999999923166"/>
    <s v="Dissatisfied"/>
  </r>
  <r>
    <x v="140"/>
    <d v="2025-01-20T00:00:00"/>
    <d v="2025-01-20T22:41:24"/>
    <x v="0"/>
    <x v="3"/>
    <x v="3"/>
    <x v="1"/>
    <x v="1"/>
    <n v="22.69"/>
    <n v="4.24"/>
    <n v="2"/>
    <x v="1"/>
    <s v="8-24 hrs"/>
    <s v="4+ hrs"/>
    <n v="22.690000000060536"/>
    <s v="Dissatisfied"/>
  </r>
  <r>
    <x v="141"/>
    <d v="2025-02-22T00:00:00"/>
    <d v="2025-02-22T04:06:36"/>
    <x v="0"/>
    <x v="3"/>
    <x v="2"/>
    <x v="2"/>
    <x v="0"/>
    <n v="4.1100000000000003"/>
    <n v="1.73"/>
    <n v="5"/>
    <x v="0"/>
    <s v="4-8 hrs"/>
    <s v="1-2 hrs"/>
    <n v="4.1099999999860302"/>
    <s v="Satisfied"/>
  </r>
  <r>
    <x v="142"/>
    <d v="2025-02-14T00:00:00"/>
    <d v="2025-02-14T16:48:00"/>
    <x v="0"/>
    <x v="3"/>
    <x v="3"/>
    <x v="0"/>
    <x v="0"/>
    <n v="16.8"/>
    <n v="3.98"/>
    <n v="5"/>
    <x v="0"/>
    <s v="8-24 hrs"/>
    <s v="2-4 hrs"/>
    <n v="16.799999999930151"/>
    <s v="Satisfied"/>
  </r>
  <r>
    <x v="143"/>
    <d v="2025-02-08T00:00:00"/>
    <d v="2025-02-08T22:40:12"/>
    <x v="3"/>
    <x v="2"/>
    <x v="3"/>
    <x v="0"/>
    <x v="2"/>
    <n v="22.67"/>
    <n v="6.28"/>
    <n v="2"/>
    <x v="0"/>
    <s v="8-24 hrs"/>
    <s v="4+ hrs"/>
    <n v="22.669999999925494"/>
    <s v="Dissatisfied"/>
  </r>
  <r>
    <x v="144"/>
    <d v="2025-01-13T00:00:00"/>
    <d v="2025-01-14T05:04:48"/>
    <x v="1"/>
    <x v="2"/>
    <x v="0"/>
    <x v="0"/>
    <x v="0"/>
    <n v="29.08"/>
    <n v="4.67"/>
    <n v="1"/>
    <x v="0"/>
    <s v="24+ hrs"/>
    <s v="4+ hrs"/>
    <n v="29.080000000074506"/>
    <s v="Dissatisfied"/>
  </r>
  <r>
    <x v="145"/>
    <d v="2025-01-29T00:00:00"/>
    <d v="2025-01-29T13:35:24"/>
    <x v="0"/>
    <x v="3"/>
    <x v="3"/>
    <x v="1"/>
    <x v="1"/>
    <n v="13.59"/>
    <n v="1.07"/>
    <n v="1"/>
    <x v="1"/>
    <s v="8-24 hrs"/>
    <s v="1-2 hrs"/>
    <n v="13.590000000083819"/>
    <s v="Dissatisfied"/>
  </r>
  <r>
    <x v="146"/>
    <d v="2025-03-29T00:00:00"/>
    <d v="2025-03-29T01:32:24"/>
    <x v="3"/>
    <x v="0"/>
    <x v="1"/>
    <x v="2"/>
    <x v="2"/>
    <n v="1.54"/>
    <n v="4.12"/>
    <n v="2"/>
    <x v="1"/>
    <s v="0-4 hrs"/>
    <s v="4+ hrs"/>
    <n v="1.5399999999208376"/>
    <s v="Dissatisfied"/>
  </r>
  <r>
    <x v="147"/>
    <d v="2025-02-17T00:00:00"/>
    <d v="2025-02-17T06:46:12"/>
    <x v="2"/>
    <x v="2"/>
    <x v="4"/>
    <x v="0"/>
    <x v="1"/>
    <n v="6.77"/>
    <n v="4.01"/>
    <n v="2"/>
    <x v="1"/>
    <s v="4-8 hrs"/>
    <s v="4+ hrs"/>
    <n v="6.7699999999604188"/>
    <s v="Dissatisfied"/>
  </r>
  <r>
    <x v="148"/>
    <d v="2025-02-22T00:00:00"/>
    <d v="2025-02-23T01:15:36"/>
    <x v="0"/>
    <x v="0"/>
    <x v="4"/>
    <x v="1"/>
    <x v="1"/>
    <n v="25.26"/>
    <n v="2.13"/>
    <n v="2"/>
    <x v="0"/>
    <s v="24+ hrs"/>
    <s v="2-4 hrs"/>
    <n v="25.259999999951106"/>
    <s v="Dissatisfied"/>
  </r>
  <r>
    <x v="149"/>
    <d v="2025-02-06T00:00:00"/>
    <d v="2025-02-06T08:20:24"/>
    <x v="0"/>
    <x v="0"/>
    <x v="4"/>
    <x v="2"/>
    <x v="2"/>
    <n v="8.34"/>
    <n v="6.07"/>
    <n v="4"/>
    <x v="0"/>
    <s v="8-24 hrs"/>
    <s v="4+ hrs"/>
    <n v="8.340000000083819"/>
    <s v="Satisfied"/>
  </r>
  <r>
    <x v="150"/>
    <d v="2025-03-28T00:00:00"/>
    <d v="2025-03-28T18:16:48"/>
    <x v="1"/>
    <x v="3"/>
    <x v="4"/>
    <x v="1"/>
    <x v="2"/>
    <n v="18.28"/>
    <n v="1.76"/>
    <n v="4"/>
    <x v="0"/>
    <s v="8-24 hrs"/>
    <s v="1-2 hrs"/>
    <n v="18.280000000144355"/>
    <s v="Satisfied"/>
  </r>
  <r>
    <x v="151"/>
    <d v="2025-01-16T00:00:00"/>
    <d v="2025-01-16T09:38:24"/>
    <x v="2"/>
    <x v="1"/>
    <x v="4"/>
    <x v="2"/>
    <x v="0"/>
    <n v="9.64"/>
    <n v="3.15"/>
    <n v="3"/>
    <x v="0"/>
    <s v="8-24 hrs"/>
    <s v="2-4 hrs"/>
    <n v="9.6399999997811392"/>
    <s v="Neutral"/>
  </r>
  <r>
    <x v="152"/>
    <d v="2025-01-01T00:00:00"/>
    <d v="2025-01-01T05:03:00"/>
    <x v="1"/>
    <x v="2"/>
    <x v="4"/>
    <x v="1"/>
    <x v="1"/>
    <n v="5.05"/>
    <n v="3.9"/>
    <n v="3"/>
    <x v="1"/>
    <s v="4-8 hrs"/>
    <s v="2-4 hrs"/>
    <n v="5.0500000000465661"/>
    <s v="Neutral"/>
  </r>
  <r>
    <x v="153"/>
    <d v="2025-01-01T00:00:00"/>
    <d v="2025-01-01T17:27:00"/>
    <x v="3"/>
    <x v="1"/>
    <x v="3"/>
    <x v="0"/>
    <x v="2"/>
    <n v="17.45"/>
    <n v="5.16"/>
    <n v="3"/>
    <x v="0"/>
    <s v="8-24 hrs"/>
    <s v="4+ hrs"/>
    <n v="17.449999999953434"/>
    <s v="Neutral"/>
  </r>
  <r>
    <x v="154"/>
    <d v="2025-01-23T00:00:00"/>
    <d v="2025-01-23T18:03:00"/>
    <x v="2"/>
    <x v="3"/>
    <x v="4"/>
    <x v="0"/>
    <x v="0"/>
    <n v="18.05"/>
    <n v="0.82"/>
    <n v="3"/>
    <x v="0"/>
    <s v="8-24 hrs"/>
    <s v="0-1 hr"/>
    <n v="18.049999999988358"/>
    <s v="Neutral"/>
  </r>
  <r>
    <x v="155"/>
    <d v="2025-01-26T00:00:00"/>
    <d v="2025-01-26T11:26:24"/>
    <x v="3"/>
    <x v="1"/>
    <x v="3"/>
    <x v="1"/>
    <x v="0"/>
    <n v="11.44"/>
    <n v="1.25"/>
    <n v="4"/>
    <x v="0"/>
    <s v="8-24 hrs"/>
    <s v="1-2 hrs"/>
    <n v="11.440000000060536"/>
    <s v="Satisfied"/>
  </r>
  <r>
    <x v="156"/>
    <d v="2025-01-03T00:00:00"/>
    <d v="2025-01-03T12:23:24"/>
    <x v="1"/>
    <x v="2"/>
    <x v="1"/>
    <x v="1"/>
    <x v="0"/>
    <n v="12.39"/>
    <n v="2.0099999999999998"/>
    <n v="1"/>
    <x v="0"/>
    <s v="8-24 hrs"/>
    <s v="2-4 hrs"/>
    <n v="12.39000000001397"/>
    <s v="Dissatisfied"/>
  </r>
  <r>
    <x v="157"/>
    <d v="2025-02-16T00:00:00"/>
    <d v="2025-02-17T05:30:00"/>
    <x v="1"/>
    <x v="1"/>
    <x v="1"/>
    <x v="0"/>
    <x v="1"/>
    <n v="29.5"/>
    <n v="6.55"/>
    <n v="2"/>
    <x v="0"/>
    <s v="24+ hrs"/>
    <s v="4+ hrs"/>
    <n v="29.499999999767169"/>
    <s v="Dissatisfied"/>
  </r>
  <r>
    <x v="158"/>
    <d v="2025-01-03T00:00:00"/>
    <d v="2025-01-04T11:54:00"/>
    <x v="3"/>
    <x v="3"/>
    <x v="4"/>
    <x v="0"/>
    <x v="2"/>
    <n v="35.9"/>
    <n v="7.41"/>
    <n v="5"/>
    <x v="0"/>
    <s v="24+ hrs"/>
    <s v="4+ hrs"/>
    <n v="35.89999999984866"/>
    <s v="Satisfied"/>
  </r>
  <r>
    <x v="159"/>
    <d v="2025-01-01T00:00:00"/>
    <d v="2025-01-02T20:06:00"/>
    <x v="3"/>
    <x v="2"/>
    <x v="0"/>
    <x v="1"/>
    <x v="0"/>
    <n v="44.1"/>
    <n v="7.16"/>
    <n v="4"/>
    <x v="0"/>
    <s v="24+ hrs"/>
    <s v="4+ hrs"/>
    <n v="44.100000000034925"/>
    <s v="Satisfied"/>
  </r>
  <r>
    <x v="160"/>
    <d v="2025-03-31T00:00:00"/>
    <d v="2025-03-31T08:42:00"/>
    <x v="0"/>
    <x v="2"/>
    <x v="3"/>
    <x v="0"/>
    <x v="1"/>
    <n v="8.6999999999999993"/>
    <n v="0.94"/>
    <n v="3"/>
    <x v="1"/>
    <s v="8-24 hrs"/>
    <s v="0-1 hr"/>
    <n v="8.7000000000698492"/>
    <s v="Neutral"/>
  </r>
  <r>
    <x v="161"/>
    <d v="2025-02-02T00:00:00"/>
    <d v="2025-02-02T20:25:48"/>
    <x v="3"/>
    <x v="1"/>
    <x v="3"/>
    <x v="2"/>
    <x v="0"/>
    <n v="20.43"/>
    <n v="7.98"/>
    <n v="1"/>
    <x v="0"/>
    <s v="8-24 hrs"/>
    <s v="4+ hrs"/>
    <n v="20.429999999993015"/>
    <s v="Dissatisfied"/>
  </r>
  <r>
    <x v="162"/>
    <d v="2025-03-04T00:00:00"/>
    <d v="2025-03-05T19:23:24"/>
    <x v="2"/>
    <x v="3"/>
    <x v="4"/>
    <x v="2"/>
    <x v="0"/>
    <n v="43.39"/>
    <n v="4.99"/>
    <n v="5"/>
    <x v="0"/>
    <s v="24+ hrs"/>
    <s v="4+ hrs"/>
    <n v="43.389999999781139"/>
    <s v="Satisfied"/>
  </r>
  <r>
    <x v="163"/>
    <d v="2025-01-19T00:00:00"/>
    <d v="2025-01-19T23:40:12"/>
    <x v="1"/>
    <x v="1"/>
    <x v="0"/>
    <x v="2"/>
    <x v="1"/>
    <n v="23.67"/>
    <n v="1.55"/>
    <n v="2"/>
    <x v="1"/>
    <s v="8-24 hrs"/>
    <s v="1-2 hrs"/>
    <n v="23.67000000004191"/>
    <s v="Dissatisfied"/>
  </r>
  <r>
    <x v="164"/>
    <d v="2025-01-11T00:00:00"/>
    <d v="2025-01-11T18:03:00"/>
    <x v="1"/>
    <x v="2"/>
    <x v="2"/>
    <x v="1"/>
    <x v="1"/>
    <n v="18.05"/>
    <n v="4.53"/>
    <n v="3"/>
    <x v="1"/>
    <s v="8-24 hrs"/>
    <s v="4+ hrs"/>
    <n v="18.049999999988358"/>
    <s v="Neutral"/>
  </r>
  <r>
    <x v="165"/>
    <d v="2025-01-11T00:00:00"/>
    <d v="2025-01-12T21:22:48"/>
    <x v="1"/>
    <x v="1"/>
    <x v="2"/>
    <x v="1"/>
    <x v="1"/>
    <n v="45.38"/>
    <n v="6.7"/>
    <n v="2"/>
    <x v="0"/>
    <s v="24+ hrs"/>
    <s v="4+ hrs"/>
    <n v="45.379999999946449"/>
    <s v="Dissatisfied"/>
  </r>
  <r>
    <x v="166"/>
    <d v="2025-01-27T00:00:00"/>
    <d v="2025-01-28T21:31:48"/>
    <x v="2"/>
    <x v="0"/>
    <x v="3"/>
    <x v="2"/>
    <x v="0"/>
    <n v="45.53"/>
    <n v="5.51"/>
    <n v="4"/>
    <x v="0"/>
    <s v="24+ hrs"/>
    <s v="4+ hrs"/>
    <n v="45.530000000086147"/>
    <s v="Satisfied"/>
  </r>
  <r>
    <x v="167"/>
    <d v="2025-01-29T00:00:00"/>
    <d v="2025-01-30T03:28:48"/>
    <x v="0"/>
    <x v="3"/>
    <x v="0"/>
    <x v="0"/>
    <x v="2"/>
    <n v="27.48"/>
    <n v="6.96"/>
    <n v="3"/>
    <x v="0"/>
    <s v="24+ hrs"/>
    <s v="4+ hrs"/>
    <n v="27.479999999923166"/>
    <s v="Neutral"/>
  </r>
  <r>
    <x v="168"/>
    <d v="2025-03-13T00:00:00"/>
    <d v="2025-03-14T11:58:48"/>
    <x v="2"/>
    <x v="3"/>
    <x v="3"/>
    <x v="2"/>
    <x v="2"/>
    <n v="35.979999999999997"/>
    <n v="3.6"/>
    <n v="2"/>
    <x v="0"/>
    <s v="24+ hrs"/>
    <s v="2-4 hrs"/>
    <n v="35.980000000039581"/>
    <s v="Dissatisfied"/>
  </r>
  <r>
    <x v="169"/>
    <d v="2025-02-07T00:00:00"/>
    <d v="2025-02-07T21:46:12"/>
    <x v="3"/>
    <x v="0"/>
    <x v="4"/>
    <x v="0"/>
    <x v="1"/>
    <n v="21.77"/>
    <n v="5.47"/>
    <n v="1"/>
    <x v="1"/>
    <s v="8-24 hrs"/>
    <s v="4+ hrs"/>
    <n v="21.769999999960419"/>
    <s v="Dissatisfied"/>
  </r>
  <r>
    <x v="170"/>
    <d v="2025-03-18T00:00:00"/>
    <d v="2025-03-18T02:32:24"/>
    <x v="1"/>
    <x v="3"/>
    <x v="1"/>
    <x v="0"/>
    <x v="1"/>
    <n v="2.54"/>
    <n v="0.74"/>
    <n v="1"/>
    <x v="1"/>
    <s v="0-4 hrs"/>
    <s v="0-1 hr"/>
    <n v="2.5399999998626299"/>
    <s v="Dissatisfied"/>
  </r>
  <r>
    <x v="171"/>
    <d v="2025-03-24T00:00:00"/>
    <d v="2025-03-24T10:46:48"/>
    <x v="0"/>
    <x v="1"/>
    <x v="0"/>
    <x v="2"/>
    <x v="1"/>
    <n v="10.78"/>
    <n v="2.29"/>
    <n v="1"/>
    <x v="1"/>
    <s v="8-24 hrs"/>
    <s v="2-4 hrs"/>
    <n v="10.780000000144355"/>
    <s v="Dissatisfied"/>
  </r>
  <r>
    <x v="172"/>
    <d v="2025-02-11T00:00:00"/>
    <d v="2025-02-11T17:00:36"/>
    <x v="2"/>
    <x v="2"/>
    <x v="0"/>
    <x v="1"/>
    <x v="0"/>
    <n v="17.010000000000002"/>
    <n v="5.57"/>
    <n v="1"/>
    <x v="0"/>
    <s v="8-24 hrs"/>
    <s v="4+ hrs"/>
    <n v="17.009999999951106"/>
    <s v="Dissatisfied"/>
  </r>
  <r>
    <x v="173"/>
    <d v="2025-03-22T00:00:00"/>
    <d v="2025-03-22T11:18:00"/>
    <x v="0"/>
    <x v="0"/>
    <x v="0"/>
    <x v="0"/>
    <x v="0"/>
    <n v="11.3"/>
    <n v="7.22"/>
    <n v="4"/>
    <x v="0"/>
    <s v="8-24 hrs"/>
    <s v="4+ hrs"/>
    <n v="11.299999999988358"/>
    <s v="Satisfied"/>
  </r>
  <r>
    <x v="174"/>
    <d v="2025-02-01T00:00:00"/>
    <d v="2025-02-01T17:30:00"/>
    <x v="0"/>
    <x v="1"/>
    <x v="0"/>
    <x v="0"/>
    <x v="0"/>
    <n v="17.5"/>
    <n v="3.73"/>
    <n v="2"/>
    <x v="0"/>
    <s v="8-24 hrs"/>
    <s v="2-4 hrs"/>
    <n v="17.499999999767169"/>
    <s v="Dissatisfied"/>
  </r>
  <r>
    <x v="175"/>
    <d v="2025-04-01T00:00:00"/>
    <d v="2025-04-01T06:22:12"/>
    <x v="2"/>
    <x v="1"/>
    <x v="3"/>
    <x v="1"/>
    <x v="1"/>
    <n v="6.37"/>
    <n v="0.9"/>
    <n v="3"/>
    <x v="1"/>
    <s v="4-8 hrs"/>
    <s v="0-1 hr"/>
    <n v="6.370000000053551"/>
    <s v="Neutral"/>
  </r>
  <r>
    <x v="176"/>
    <d v="2025-02-18T00:00:00"/>
    <d v="2025-02-19T04:19:12"/>
    <x v="3"/>
    <x v="0"/>
    <x v="4"/>
    <x v="2"/>
    <x v="2"/>
    <n v="28.32"/>
    <n v="7.58"/>
    <n v="2"/>
    <x v="0"/>
    <s v="24+ hrs"/>
    <s v="4+ hrs"/>
    <n v="28.320000000006985"/>
    <s v="Dissatisfied"/>
  </r>
  <r>
    <x v="177"/>
    <d v="2025-02-05T00:00:00"/>
    <d v="2025-02-06T12:33:00"/>
    <x v="1"/>
    <x v="0"/>
    <x v="4"/>
    <x v="2"/>
    <x v="1"/>
    <n v="36.549999999999997"/>
    <n v="4.8600000000000003"/>
    <n v="4"/>
    <x v="0"/>
    <s v="24+ hrs"/>
    <s v="4+ hrs"/>
    <n v="36.550000000046566"/>
    <s v="Satisfied"/>
  </r>
  <r>
    <x v="178"/>
    <d v="2025-01-03T00:00:00"/>
    <d v="2025-01-03T19:45:00"/>
    <x v="0"/>
    <x v="3"/>
    <x v="1"/>
    <x v="2"/>
    <x v="0"/>
    <n v="19.75"/>
    <n v="3.97"/>
    <n v="2"/>
    <x v="0"/>
    <s v="8-24 hrs"/>
    <s v="2-4 hrs"/>
    <n v="19.749999999767169"/>
    <s v="Dissatisfied"/>
  </r>
  <r>
    <x v="179"/>
    <d v="2025-01-04T00:00:00"/>
    <d v="2025-01-04T15:30:00"/>
    <x v="1"/>
    <x v="1"/>
    <x v="3"/>
    <x v="2"/>
    <x v="1"/>
    <n v="15.5"/>
    <n v="4.0999999999999996"/>
    <n v="5"/>
    <x v="1"/>
    <s v="8-24 hrs"/>
    <s v="4+ hrs"/>
    <n v="15.500000000232831"/>
    <s v="Satisfied"/>
  </r>
  <r>
    <x v="180"/>
    <d v="2025-03-23T00:00:00"/>
    <d v="2025-03-23T02:19:48"/>
    <x v="2"/>
    <x v="2"/>
    <x v="1"/>
    <x v="1"/>
    <x v="1"/>
    <n v="2.33"/>
    <n v="5.36"/>
    <n v="1"/>
    <x v="1"/>
    <s v="0-4 hrs"/>
    <s v="4+ hrs"/>
    <n v="2.3299999998416752"/>
    <s v="Dissatisfied"/>
  </r>
  <r>
    <x v="181"/>
    <d v="2025-01-01T00:00:00"/>
    <d v="2025-01-02T04:04:12"/>
    <x v="3"/>
    <x v="1"/>
    <x v="1"/>
    <x v="2"/>
    <x v="0"/>
    <n v="28.07"/>
    <n v="2.5099999999999998"/>
    <n v="5"/>
    <x v="0"/>
    <s v="24+ hrs"/>
    <s v="2-4 hrs"/>
    <n v="28.070000000239816"/>
    <s v="Satisfied"/>
  </r>
  <r>
    <x v="182"/>
    <d v="2025-02-13T00:00:00"/>
    <d v="2025-02-13T22:23:24"/>
    <x v="1"/>
    <x v="1"/>
    <x v="3"/>
    <x v="1"/>
    <x v="1"/>
    <n v="22.39"/>
    <n v="6.12"/>
    <n v="2"/>
    <x v="1"/>
    <s v="8-24 hrs"/>
    <s v="4+ hrs"/>
    <n v="22.389999999781139"/>
    <s v="Dissatisfied"/>
  </r>
  <r>
    <x v="183"/>
    <d v="2025-03-06T00:00:00"/>
    <d v="2025-03-07T05:03:00"/>
    <x v="2"/>
    <x v="0"/>
    <x v="1"/>
    <x v="1"/>
    <x v="2"/>
    <n v="29.05"/>
    <n v="2"/>
    <n v="4"/>
    <x v="0"/>
    <s v="24+ hrs"/>
    <s v="1-2 hrs"/>
    <n v="29.050000000046566"/>
    <s v="Satisfied"/>
  </r>
  <r>
    <x v="184"/>
    <d v="2025-01-29T00:00:00"/>
    <d v="2025-01-29T18:08:24"/>
    <x v="3"/>
    <x v="3"/>
    <x v="4"/>
    <x v="2"/>
    <x v="0"/>
    <n v="18.14"/>
    <n v="6.97"/>
    <n v="4"/>
    <x v="0"/>
    <s v="8-24 hrs"/>
    <s v="4+ hrs"/>
    <n v="18.1400000002468"/>
    <s v="Satisfied"/>
  </r>
  <r>
    <x v="185"/>
    <d v="2025-01-09T00:00:00"/>
    <d v="2025-01-10T04:28:12"/>
    <x v="0"/>
    <x v="0"/>
    <x v="0"/>
    <x v="0"/>
    <x v="2"/>
    <n v="28.47"/>
    <n v="2.92"/>
    <n v="1"/>
    <x v="0"/>
    <s v="24+ hrs"/>
    <s v="2-4 hrs"/>
    <n v="28.46999999997206"/>
    <s v="Dissatisfied"/>
  </r>
  <r>
    <x v="186"/>
    <d v="2025-03-02T00:00:00"/>
    <d v="2025-03-02T09:37:12"/>
    <x v="1"/>
    <x v="1"/>
    <x v="4"/>
    <x v="2"/>
    <x v="1"/>
    <n v="9.6199999999999992"/>
    <n v="3.58"/>
    <n v="2"/>
    <x v="1"/>
    <s v="8-24 hrs"/>
    <s v="2-4 hrs"/>
    <n v="9.6199999999953434"/>
    <s v="Dissatisfied"/>
  </r>
  <r>
    <x v="187"/>
    <d v="2025-03-05T00:00:00"/>
    <d v="2025-03-05T11:45:00"/>
    <x v="3"/>
    <x v="2"/>
    <x v="3"/>
    <x v="2"/>
    <x v="2"/>
    <n v="11.75"/>
    <n v="7.06"/>
    <n v="3"/>
    <x v="0"/>
    <s v="8-24 hrs"/>
    <s v="4+ hrs"/>
    <n v="11.750000000232831"/>
    <s v="Neutral"/>
  </r>
  <r>
    <x v="188"/>
    <d v="2025-03-08T00:00:00"/>
    <d v="2025-03-08T15:25:12"/>
    <x v="1"/>
    <x v="3"/>
    <x v="2"/>
    <x v="1"/>
    <x v="1"/>
    <n v="15.42"/>
    <n v="3.21"/>
    <n v="4"/>
    <x v="1"/>
    <s v="8-24 hrs"/>
    <s v="2-4 hrs"/>
    <n v="15.42000000004191"/>
    <s v="Satisfied"/>
  </r>
  <r>
    <x v="189"/>
    <d v="2025-01-19T00:00:00"/>
    <d v="2025-01-20T02:40:12"/>
    <x v="2"/>
    <x v="2"/>
    <x v="1"/>
    <x v="1"/>
    <x v="1"/>
    <n v="26.67"/>
    <n v="1.44"/>
    <n v="2"/>
    <x v="0"/>
    <s v="24+ hrs"/>
    <s v="1-2 hrs"/>
    <n v="26.67000000004191"/>
    <s v="Dissatisfied"/>
  </r>
  <r>
    <x v="190"/>
    <d v="2025-01-21T00:00:00"/>
    <d v="2025-01-22T22:13:48"/>
    <x v="1"/>
    <x v="1"/>
    <x v="2"/>
    <x v="0"/>
    <x v="1"/>
    <n v="46.23"/>
    <n v="7.43"/>
    <n v="1"/>
    <x v="0"/>
    <s v="24+ hrs"/>
    <s v="4+ hrs"/>
    <n v="46.229999999923166"/>
    <s v="Dissatisfied"/>
  </r>
  <r>
    <x v="191"/>
    <d v="2025-03-09T00:00:00"/>
    <d v="2025-03-10T21:28:12"/>
    <x v="3"/>
    <x v="0"/>
    <x v="0"/>
    <x v="2"/>
    <x v="0"/>
    <n v="45.47"/>
    <n v="2.48"/>
    <n v="3"/>
    <x v="0"/>
    <s v="24+ hrs"/>
    <s v="2-4 hrs"/>
    <n v="45.469999999855645"/>
    <s v="Neutral"/>
  </r>
  <r>
    <x v="192"/>
    <d v="2025-03-27T00:00:00"/>
    <d v="2025-03-27T15:04:48"/>
    <x v="2"/>
    <x v="0"/>
    <x v="4"/>
    <x v="0"/>
    <x v="2"/>
    <n v="15.08"/>
    <n v="7.48"/>
    <n v="2"/>
    <x v="0"/>
    <s v="8-24 hrs"/>
    <s v="4+ hrs"/>
    <n v="15.079999999841675"/>
    <s v="Dissatisfied"/>
  </r>
  <r>
    <x v="193"/>
    <d v="2025-02-14T00:00:00"/>
    <d v="2025-02-15T01:32:24"/>
    <x v="3"/>
    <x v="2"/>
    <x v="3"/>
    <x v="2"/>
    <x v="0"/>
    <n v="25.54"/>
    <n v="0.82"/>
    <n v="2"/>
    <x v="0"/>
    <s v="24+ hrs"/>
    <s v="0-1 hr"/>
    <n v="25.539999999920838"/>
    <s v="Dissatisfied"/>
  </r>
  <r>
    <x v="194"/>
    <d v="2025-01-24T00:00:00"/>
    <d v="2025-01-24T22:22:48"/>
    <x v="0"/>
    <x v="3"/>
    <x v="4"/>
    <x v="2"/>
    <x v="0"/>
    <n v="22.38"/>
    <n v="2.4300000000000002"/>
    <n v="2"/>
    <x v="0"/>
    <s v="8-24 hrs"/>
    <s v="2-4 hrs"/>
    <n v="22.380000000062864"/>
    <s v="Dissatisfied"/>
  </r>
  <r>
    <x v="195"/>
    <d v="2025-03-30T00:00:00"/>
    <d v="2025-03-31T19:24:36"/>
    <x v="2"/>
    <x v="0"/>
    <x v="1"/>
    <x v="2"/>
    <x v="0"/>
    <n v="43.41"/>
    <n v="5.67"/>
    <n v="4"/>
    <x v="0"/>
    <s v="24+ hrs"/>
    <s v="4+ hrs"/>
    <n v="43.409999999916181"/>
    <s v="Satisfied"/>
  </r>
  <r>
    <x v="196"/>
    <d v="2025-01-02T00:00:00"/>
    <d v="2025-01-03T19:06:00"/>
    <x v="2"/>
    <x v="1"/>
    <x v="1"/>
    <x v="1"/>
    <x v="2"/>
    <n v="43.1"/>
    <n v="1.03"/>
    <n v="1"/>
    <x v="0"/>
    <s v="24+ hrs"/>
    <s v="1-2 hrs"/>
    <n v="43.099999999918509"/>
    <s v="Dissatisfied"/>
  </r>
  <r>
    <x v="197"/>
    <d v="2025-01-13T00:00:00"/>
    <d v="2025-01-14T11:55:48"/>
    <x v="2"/>
    <x v="1"/>
    <x v="2"/>
    <x v="2"/>
    <x v="0"/>
    <n v="35.93"/>
    <n v="2.89"/>
    <n v="4"/>
    <x v="0"/>
    <s v="24+ hrs"/>
    <s v="2-4 hrs"/>
    <n v="35.930000000225846"/>
    <s v="Satisfied"/>
  </r>
  <r>
    <x v="198"/>
    <d v="2025-03-24T00:00:00"/>
    <d v="2025-03-24T13:36:00"/>
    <x v="1"/>
    <x v="3"/>
    <x v="4"/>
    <x v="1"/>
    <x v="1"/>
    <n v="13.6"/>
    <n v="7.38"/>
    <n v="3"/>
    <x v="1"/>
    <s v="8-24 hrs"/>
    <s v="4+ hrs"/>
    <n v="13.60000000015134"/>
    <s v="Neutral"/>
  </r>
  <r>
    <x v="199"/>
    <d v="2025-02-11T00:00:00"/>
    <d v="2025-02-11T15:49:48"/>
    <x v="2"/>
    <x v="3"/>
    <x v="0"/>
    <x v="0"/>
    <x v="0"/>
    <n v="15.83"/>
    <n v="5.09"/>
    <n v="5"/>
    <x v="0"/>
    <s v="8-24 hrs"/>
    <s v="4+ hrs"/>
    <n v="15.829999999841675"/>
    <s v="Satisfied"/>
  </r>
  <r>
    <x v="200"/>
    <d v="2025-03-28T00:00:00"/>
    <d v="2025-03-29T19:48:00"/>
    <x v="0"/>
    <x v="0"/>
    <x v="3"/>
    <x v="0"/>
    <x v="1"/>
    <n v="43.8"/>
    <n v="0.54"/>
    <n v="2"/>
    <x v="0"/>
    <s v="24+ hrs"/>
    <s v="0-1 hr"/>
    <n v="43.799999999930151"/>
    <s v="Dissatisfied"/>
  </r>
  <r>
    <x v="201"/>
    <d v="2025-02-20T00:00:00"/>
    <d v="2025-02-20T22:33:00"/>
    <x v="3"/>
    <x v="0"/>
    <x v="1"/>
    <x v="2"/>
    <x v="2"/>
    <n v="22.55"/>
    <n v="1.46"/>
    <n v="5"/>
    <x v="0"/>
    <s v="8-24 hrs"/>
    <s v="1-2 hrs"/>
    <n v="22.549999999988358"/>
    <s v="Satisfied"/>
  </r>
  <r>
    <x v="202"/>
    <d v="2025-02-11T00:00:00"/>
    <d v="2025-02-11T04:11:24"/>
    <x v="1"/>
    <x v="0"/>
    <x v="2"/>
    <x v="1"/>
    <x v="2"/>
    <n v="4.1900000000000004"/>
    <n v="5.59"/>
    <n v="2"/>
    <x v="1"/>
    <s v="4-8 hrs"/>
    <s v="4+ hrs"/>
    <n v="4.1900000000023283"/>
    <s v="Dissatisfied"/>
  </r>
  <r>
    <x v="203"/>
    <d v="2025-03-21T00:00:00"/>
    <d v="2025-03-22T16:58:12"/>
    <x v="3"/>
    <x v="3"/>
    <x v="1"/>
    <x v="0"/>
    <x v="2"/>
    <n v="40.97"/>
    <n v="5.58"/>
    <n v="3"/>
    <x v="0"/>
    <s v="24+ hrs"/>
    <s v="4+ hrs"/>
    <n v="40.969999999855645"/>
    <s v="Neutral"/>
  </r>
  <r>
    <x v="204"/>
    <d v="2025-03-17T00:00:00"/>
    <d v="2025-03-17T19:55:48"/>
    <x v="3"/>
    <x v="2"/>
    <x v="4"/>
    <x v="2"/>
    <x v="1"/>
    <n v="19.93"/>
    <n v="1.05"/>
    <n v="1"/>
    <x v="1"/>
    <s v="8-24 hrs"/>
    <s v="1-2 hrs"/>
    <n v="19.929999999760184"/>
    <s v="Dissatisfied"/>
  </r>
  <r>
    <x v="205"/>
    <d v="2025-02-14T00:00:00"/>
    <d v="2025-02-14T18:08:24"/>
    <x v="0"/>
    <x v="0"/>
    <x v="3"/>
    <x v="0"/>
    <x v="0"/>
    <n v="18.14"/>
    <n v="1.81"/>
    <n v="5"/>
    <x v="0"/>
    <s v="8-24 hrs"/>
    <s v="1-2 hrs"/>
    <n v="18.1400000002468"/>
    <s v="Satisfied"/>
  </r>
  <r>
    <x v="206"/>
    <d v="2025-01-17T00:00:00"/>
    <d v="2025-01-18T11:22:12"/>
    <x v="2"/>
    <x v="2"/>
    <x v="4"/>
    <x v="2"/>
    <x v="0"/>
    <n v="35.369999999999997"/>
    <n v="2.09"/>
    <n v="2"/>
    <x v="0"/>
    <s v="24+ hrs"/>
    <s v="2-4 hrs"/>
    <n v="35.369999999937136"/>
    <s v="Dissatisfied"/>
  </r>
  <r>
    <x v="207"/>
    <d v="2025-02-07T00:00:00"/>
    <d v="2025-02-08T04:07:48"/>
    <x v="0"/>
    <x v="1"/>
    <x v="2"/>
    <x v="0"/>
    <x v="0"/>
    <n v="28.13"/>
    <n v="6.65"/>
    <n v="3"/>
    <x v="0"/>
    <s v="24+ hrs"/>
    <s v="4+ hrs"/>
    <n v="28.129999999946449"/>
    <s v="Neutral"/>
  </r>
  <r>
    <x v="208"/>
    <d v="2025-03-10T00:00:00"/>
    <d v="2025-03-10T17:46:48"/>
    <x v="3"/>
    <x v="3"/>
    <x v="1"/>
    <x v="1"/>
    <x v="0"/>
    <n v="17.78"/>
    <n v="1.4"/>
    <n v="3"/>
    <x v="0"/>
    <s v="8-24 hrs"/>
    <s v="1-2 hrs"/>
    <n v="17.780000000086147"/>
    <s v="Neutral"/>
  </r>
  <r>
    <x v="209"/>
    <d v="2025-03-18T00:00:00"/>
    <d v="2025-03-19T22:39:36"/>
    <x v="0"/>
    <x v="0"/>
    <x v="0"/>
    <x v="1"/>
    <x v="1"/>
    <n v="46.66"/>
    <n v="2.85"/>
    <n v="1"/>
    <x v="0"/>
    <s v="24+ hrs"/>
    <s v="2-4 hrs"/>
    <n v="46.660000000032596"/>
    <s v="Dissatisfied"/>
  </r>
  <r>
    <x v="210"/>
    <d v="2025-03-25T00:00:00"/>
    <d v="2025-03-26T01:52:12"/>
    <x v="0"/>
    <x v="3"/>
    <x v="1"/>
    <x v="0"/>
    <x v="2"/>
    <n v="25.87"/>
    <n v="6.05"/>
    <n v="5"/>
    <x v="0"/>
    <s v="24+ hrs"/>
    <s v="4+ hrs"/>
    <n v="25.870000000053551"/>
    <s v="Satisfied"/>
  </r>
  <r>
    <x v="211"/>
    <d v="2025-02-23T00:00:00"/>
    <d v="2025-02-24T16:12:00"/>
    <x v="2"/>
    <x v="3"/>
    <x v="3"/>
    <x v="2"/>
    <x v="2"/>
    <n v="40.200000000000003"/>
    <n v="5.25"/>
    <n v="2"/>
    <x v="0"/>
    <s v="24+ hrs"/>
    <s v="4+ hrs"/>
    <n v="40.200000000069849"/>
    <s v="Dissatisfied"/>
  </r>
  <r>
    <x v="212"/>
    <d v="2025-03-30T00:00:00"/>
    <d v="2025-03-30T13:07:12"/>
    <x v="3"/>
    <x v="1"/>
    <x v="0"/>
    <x v="1"/>
    <x v="2"/>
    <n v="13.12"/>
    <n v="3.15"/>
    <n v="3"/>
    <x v="0"/>
    <s v="8-24 hrs"/>
    <s v="2-4 hrs"/>
    <n v="13.120000000053551"/>
    <s v="Neutral"/>
  </r>
  <r>
    <x v="213"/>
    <d v="2025-02-07T00:00:00"/>
    <d v="2025-02-08T13:22:12"/>
    <x v="0"/>
    <x v="2"/>
    <x v="3"/>
    <x v="2"/>
    <x v="1"/>
    <n v="37.369999999999997"/>
    <n v="5.63"/>
    <n v="2"/>
    <x v="0"/>
    <s v="24+ hrs"/>
    <s v="4+ hrs"/>
    <n v="37.369999999995343"/>
    <s v="Dissatisfied"/>
  </r>
  <r>
    <x v="214"/>
    <d v="2025-03-26T00:00:00"/>
    <d v="2025-03-27T00:40:48"/>
    <x v="3"/>
    <x v="2"/>
    <x v="2"/>
    <x v="1"/>
    <x v="0"/>
    <n v="24.68"/>
    <n v="5.57"/>
    <n v="5"/>
    <x v="0"/>
    <s v="24+ hrs"/>
    <s v="4+ hrs"/>
    <n v="24.680000000225846"/>
    <s v="Satisfied"/>
  </r>
  <r>
    <x v="215"/>
    <d v="2025-04-01T00:00:00"/>
    <d v="2025-04-01T14:50:24"/>
    <x v="2"/>
    <x v="3"/>
    <x v="2"/>
    <x v="1"/>
    <x v="2"/>
    <n v="14.84"/>
    <n v="3.31"/>
    <n v="5"/>
    <x v="0"/>
    <s v="8-24 hrs"/>
    <s v="2-4 hrs"/>
    <n v="14.839999999967404"/>
    <s v="Satisfied"/>
  </r>
  <r>
    <x v="216"/>
    <d v="2025-03-26T00:00:00"/>
    <d v="2025-03-26T15:46:48"/>
    <x v="3"/>
    <x v="2"/>
    <x v="3"/>
    <x v="2"/>
    <x v="2"/>
    <n v="15.78"/>
    <n v="2.84"/>
    <n v="1"/>
    <x v="0"/>
    <s v="8-24 hrs"/>
    <s v="2-4 hrs"/>
    <n v="15.78000000002794"/>
    <s v="Dissatisfied"/>
  </r>
  <r>
    <x v="217"/>
    <d v="2025-02-20T00:00:00"/>
    <d v="2025-02-21T15:34:12"/>
    <x v="3"/>
    <x v="0"/>
    <x v="2"/>
    <x v="2"/>
    <x v="1"/>
    <n v="39.57"/>
    <n v="5.22"/>
    <n v="2"/>
    <x v="0"/>
    <s v="24+ hrs"/>
    <s v="4+ hrs"/>
    <n v="39.570000000006985"/>
    <s v="Dissatisfied"/>
  </r>
  <r>
    <x v="218"/>
    <d v="2025-03-05T00:00:00"/>
    <d v="2025-03-05T02:10:48"/>
    <x v="1"/>
    <x v="2"/>
    <x v="0"/>
    <x v="1"/>
    <x v="1"/>
    <n v="2.1800000000000002"/>
    <n v="3.99"/>
    <n v="3"/>
    <x v="1"/>
    <s v="0-4 hrs"/>
    <s v="2-4 hrs"/>
    <n v="2.1800000002258457"/>
    <s v="Neutral"/>
  </r>
  <r>
    <x v="219"/>
    <d v="2025-02-26T00:00:00"/>
    <d v="2025-02-27T05:20:24"/>
    <x v="0"/>
    <x v="3"/>
    <x v="0"/>
    <x v="2"/>
    <x v="0"/>
    <n v="29.34"/>
    <n v="0.96"/>
    <n v="1"/>
    <x v="0"/>
    <s v="24+ hrs"/>
    <s v="0-1 hr"/>
    <n v="29.340000000083819"/>
    <s v="Dissatisfied"/>
  </r>
  <r>
    <x v="220"/>
    <d v="2025-02-13T00:00:00"/>
    <d v="2025-02-13T20:46:48"/>
    <x v="3"/>
    <x v="2"/>
    <x v="3"/>
    <x v="2"/>
    <x v="1"/>
    <n v="20.78"/>
    <n v="1.87"/>
    <n v="2"/>
    <x v="1"/>
    <s v="8-24 hrs"/>
    <s v="1-2 hrs"/>
    <n v="20.780000000086147"/>
    <s v="Dissatisfied"/>
  </r>
  <r>
    <x v="221"/>
    <d v="2025-01-31T00:00:00"/>
    <d v="2025-02-01T20:13:48"/>
    <x v="3"/>
    <x v="3"/>
    <x v="4"/>
    <x v="2"/>
    <x v="2"/>
    <n v="44.23"/>
    <n v="4.9400000000000004"/>
    <n v="4"/>
    <x v="0"/>
    <s v="24+ hrs"/>
    <s v="4+ hrs"/>
    <n v="44.230000000039581"/>
    <s v="Satisfied"/>
  </r>
  <r>
    <x v="222"/>
    <d v="2025-02-14T00:00:00"/>
    <d v="2025-02-15T22:19:12"/>
    <x v="3"/>
    <x v="0"/>
    <x v="2"/>
    <x v="1"/>
    <x v="2"/>
    <n v="46.32"/>
    <n v="7.79"/>
    <n v="2"/>
    <x v="0"/>
    <s v="24+ hrs"/>
    <s v="4+ hrs"/>
    <n v="46.320000000006985"/>
    <s v="Dissatisfied"/>
  </r>
  <r>
    <x v="223"/>
    <d v="2025-02-21T00:00:00"/>
    <d v="2025-02-22T04:43:48"/>
    <x v="1"/>
    <x v="2"/>
    <x v="2"/>
    <x v="2"/>
    <x v="2"/>
    <n v="28.73"/>
    <n v="3.29"/>
    <n v="5"/>
    <x v="0"/>
    <s v="24+ hrs"/>
    <s v="2-4 hrs"/>
    <n v="28.729999999981374"/>
    <s v="Satisfied"/>
  </r>
  <r>
    <x v="224"/>
    <d v="2025-01-09T00:00:00"/>
    <d v="2025-01-10T08:07:48"/>
    <x v="3"/>
    <x v="3"/>
    <x v="4"/>
    <x v="1"/>
    <x v="0"/>
    <n v="32.130000000000003"/>
    <n v="2.39"/>
    <n v="2"/>
    <x v="0"/>
    <s v="24+ hrs"/>
    <s v="2-4 hrs"/>
    <n v="32.130000000062864"/>
    <s v="Dissatisfied"/>
  </r>
  <r>
    <x v="225"/>
    <d v="2025-01-03T00:00:00"/>
    <d v="2025-01-04T22:09:36"/>
    <x v="3"/>
    <x v="0"/>
    <x v="1"/>
    <x v="2"/>
    <x v="1"/>
    <n v="46.16"/>
    <n v="0.96"/>
    <n v="1"/>
    <x v="0"/>
    <s v="24+ hrs"/>
    <s v="0-1 hr"/>
    <n v="46.159999999974389"/>
    <s v="Dissatisfied"/>
  </r>
  <r>
    <x v="226"/>
    <d v="2025-03-04T00:00:00"/>
    <d v="2025-03-05T12:31:48"/>
    <x v="3"/>
    <x v="3"/>
    <x v="2"/>
    <x v="2"/>
    <x v="0"/>
    <n v="36.53"/>
    <n v="7.94"/>
    <n v="4"/>
    <x v="0"/>
    <s v="24+ hrs"/>
    <s v="4+ hrs"/>
    <n v="36.530000000086147"/>
    <s v="Satisfied"/>
  </r>
  <r>
    <x v="227"/>
    <d v="2025-01-26T00:00:00"/>
    <d v="2025-01-27T04:10:12"/>
    <x v="0"/>
    <x v="3"/>
    <x v="4"/>
    <x v="1"/>
    <x v="1"/>
    <n v="28.17"/>
    <n v="7.01"/>
    <n v="2"/>
    <x v="0"/>
    <s v="24+ hrs"/>
    <s v="4+ hrs"/>
    <n v="28.17000000004191"/>
    <s v="Dissatisfied"/>
  </r>
  <r>
    <x v="228"/>
    <d v="2025-01-15T00:00:00"/>
    <d v="2025-01-16T21:48:00"/>
    <x v="1"/>
    <x v="1"/>
    <x v="2"/>
    <x v="1"/>
    <x v="0"/>
    <n v="45.8"/>
    <n v="1.9"/>
    <n v="5"/>
    <x v="0"/>
    <s v="24+ hrs"/>
    <s v="1-2 hrs"/>
    <n v="45.799999999988358"/>
    <s v="Satisfied"/>
  </r>
  <r>
    <x v="229"/>
    <d v="2025-02-10T00:00:00"/>
    <d v="2025-02-11T13:47:24"/>
    <x v="2"/>
    <x v="0"/>
    <x v="3"/>
    <x v="1"/>
    <x v="1"/>
    <n v="37.79"/>
    <n v="6.5"/>
    <n v="2"/>
    <x v="0"/>
    <s v="24+ hrs"/>
    <s v="4+ hrs"/>
    <n v="37.78999999986263"/>
    <s v="Dissatisfied"/>
  </r>
  <r>
    <x v="230"/>
    <d v="2025-03-17T00:00:00"/>
    <d v="2025-03-17T19:23:24"/>
    <x v="3"/>
    <x v="1"/>
    <x v="4"/>
    <x v="0"/>
    <x v="1"/>
    <n v="19.39"/>
    <n v="5.53"/>
    <n v="3"/>
    <x v="1"/>
    <s v="8-24 hrs"/>
    <s v="4+ hrs"/>
    <n v="19.389999999781139"/>
    <s v="Neutral"/>
  </r>
  <r>
    <x v="231"/>
    <d v="2025-02-03T00:00:00"/>
    <d v="2025-02-03T18:06:36"/>
    <x v="1"/>
    <x v="3"/>
    <x v="4"/>
    <x v="2"/>
    <x v="2"/>
    <n v="18.11"/>
    <n v="4.7699999999999996"/>
    <n v="5"/>
    <x v="0"/>
    <s v="8-24 hrs"/>
    <s v="4+ hrs"/>
    <n v="18.110000000218861"/>
    <s v="Satisfied"/>
  </r>
  <r>
    <x v="232"/>
    <d v="2025-03-20T00:00:00"/>
    <d v="2025-03-21T16:29:24"/>
    <x v="2"/>
    <x v="1"/>
    <x v="3"/>
    <x v="0"/>
    <x v="1"/>
    <n v="40.49"/>
    <n v="3.3"/>
    <n v="3"/>
    <x v="0"/>
    <s v="24+ hrs"/>
    <s v="2-4 hrs"/>
    <n v="40.489999999932479"/>
    <s v="Neutral"/>
  </r>
  <r>
    <x v="233"/>
    <d v="2025-01-09T00:00:00"/>
    <d v="2025-01-10T10:44:24"/>
    <x v="2"/>
    <x v="1"/>
    <x v="2"/>
    <x v="1"/>
    <x v="2"/>
    <n v="34.74"/>
    <n v="1.22"/>
    <n v="4"/>
    <x v="0"/>
    <s v="24+ hrs"/>
    <s v="1-2 hrs"/>
    <n v="34.740000000048894"/>
    <s v="Satisfied"/>
  </r>
  <r>
    <x v="234"/>
    <d v="2025-02-14T00:00:00"/>
    <d v="2025-02-15T09:19:48"/>
    <x v="0"/>
    <x v="3"/>
    <x v="2"/>
    <x v="1"/>
    <x v="2"/>
    <n v="33.33"/>
    <n v="2.04"/>
    <n v="2"/>
    <x v="0"/>
    <s v="24+ hrs"/>
    <s v="2-4 hrs"/>
    <n v="33.32999999995809"/>
    <s v="Dissatisfied"/>
  </r>
  <r>
    <x v="235"/>
    <d v="2025-03-24T00:00:00"/>
    <d v="2025-03-25T01:40:48"/>
    <x v="0"/>
    <x v="2"/>
    <x v="0"/>
    <x v="1"/>
    <x v="0"/>
    <n v="25.68"/>
    <n v="1.75"/>
    <n v="4"/>
    <x v="0"/>
    <s v="24+ hrs"/>
    <s v="1-2 hrs"/>
    <n v="25.679999999993015"/>
    <s v="Satisfied"/>
  </r>
  <r>
    <x v="236"/>
    <d v="2025-01-28T00:00:00"/>
    <d v="2025-01-28T17:30:00"/>
    <x v="1"/>
    <x v="2"/>
    <x v="2"/>
    <x v="1"/>
    <x v="0"/>
    <n v="17.5"/>
    <n v="4.96"/>
    <n v="2"/>
    <x v="0"/>
    <s v="8-24 hrs"/>
    <s v="4+ hrs"/>
    <n v="17.499999999767169"/>
    <s v="Dissatisfied"/>
  </r>
  <r>
    <x v="237"/>
    <d v="2025-01-04T00:00:00"/>
    <d v="2025-01-05T08:02:24"/>
    <x v="3"/>
    <x v="2"/>
    <x v="4"/>
    <x v="0"/>
    <x v="1"/>
    <n v="32.04"/>
    <n v="7.32"/>
    <n v="2"/>
    <x v="0"/>
    <s v="24+ hrs"/>
    <s v="4+ hrs"/>
    <n v="32.039999999979045"/>
    <s v="Dissatisfied"/>
  </r>
  <r>
    <x v="238"/>
    <d v="2025-02-16T00:00:00"/>
    <d v="2025-02-17T05:47:24"/>
    <x v="1"/>
    <x v="3"/>
    <x v="3"/>
    <x v="1"/>
    <x v="0"/>
    <n v="29.79"/>
    <n v="3.62"/>
    <n v="2"/>
    <x v="0"/>
    <s v="24+ hrs"/>
    <s v="2-4 hrs"/>
    <n v="29.789999999979045"/>
    <s v="Dissatisfied"/>
  </r>
  <r>
    <x v="239"/>
    <d v="2025-03-27T00:00:00"/>
    <d v="2025-03-28T09:16:12"/>
    <x v="1"/>
    <x v="3"/>
    <x v="4"/>
    <x v="0"/>
    <x v="0"/>
    <n v="33.270000000000003"/>
    <n v="1.56"/>
    <n v="5"/>
    <x v="0"/>
    <s v="24+ hrs"/>
    <s v="1-2 hrs"/>
    <n v="33.270000000076834"/>
    <s v="Satisfied"/>
  </r>
  <r>
    <x v="240"/>
    <d v="2025-03-22T00:00:00"/>
    <d v="2025-03-23T06:51:36"/>
    <x v="1"/>
    <x v="1"/>
    <x v="2"/>
    <x v="2"/>
    <x v="2"/>
    <n v="30.86"/>
    <n v="7.32"/>
    <n v="2"/>
    <x v="0"/>
    <s v="24+ hrs"/>
    <s v="4+ hrs"/>
    <n v="30.860000000218861"/>
    <s v="Dissatisfied"/>
  </r>
  <r>
    <x v="241"/>
    <d v="2025-01-16T00:00:00"/>
    <d v="2025-01-16T22:09:00"/>
    <x v="2"/>
    <x v="2"/>
    <x v="0"/>
    <x v="1"/>
    <x v="0"/>
    <n v="22.15"/>
    <n v="2.2000000000000002"/>
    <n v="1"/>
    <x v="0"/>
    <s v="8-24 hrs"/>
    <s v="2-4 hrs"/>
    <n v="22.150000000081491"/>
    <s v="Dissatisfied"/>
  </r>
  <r>
    <x v="242"/>
    <d v="2025-03-05T00:00:00"/>
    <d v="2025-03-05T07:45:36"/>
    <x v="2"/>
    <x v="2"/>
    <x v="0"/>
    <x v="0"/>
    <x v="0"/>
    <n v="7.76"/>
    <n v="3.67"/>
    <n v="4"/>
    <x v="0"/>
    <s v="4-8 hrs"/>
    <s v="2-4 hrs"/>
    <n v="7.7599999998346902"/>
    <s v="Satisfied"/>
  </r>
  <r>
    <x v="243"/>
    <d v="2025-03-20T00:00:00"/>
    <d v="2025-03-20T19:28:12"/>
    <x v="2"/>
    <x v="2"/>
    <x v="1"/>
    <x v="1"/>
    <x v="2"/>
    <n v="19.47"/>
    <n v="4.51"/>
    <n v="3"/>
    <x v="0"/>
    <s v="8-24 hrs"/>
    <s v="4+ hrs"/>
    <n v="19.46999999997206"/>
    <s v="Neutral"/>
  </r>
  <r>
    <x v="244"/>
    <d v="2025-03-10T00:00:00"/>
    <d v="2025-03-10T19:27:00"/>
    <x v="2"/>
    <x v="3"/>
    <x v="2"/>
    <x v="2"/>
    <x v="0"/>
    <n v="19.45"/>
    <n v="5.32"/>
    <n v="1"/>
    <x v="0"/>
    <s v="8-24 hrs"/>
    <s v="4+ hrs"/>
    <n v="19.450000000011642"/>
    <s v="Dissatisfied"/>
  </r>
  <r>
    <x v="245"/>
    <d v="2025-02-19T00:00:00"/>
    <d v="2025-02-19T15:56:24"/>
    <x v="0"/>
    <x v="1"/>
    <x v="1"/>
    <x v="1"/>
    <x v="1"/>
    <n v="15.94"/>
    <n v="1.72"/>
    <n v="5"/>
    <x v="1"/>
    <s v="8-24 hrs"/>
    <s v="1-2 hrs"/>
    <n v="15.940000000060536"/>
    <s v="Satisfied"/>
  </r>
  <r>
    <x v="246"/>
    <d v="2025-01-21T00:00:00"/>
    <d v="2025-01-22T14:30:00"/>
    <x v="2"/>
    <x v="0"/>
    <x v="3"/>
    <x v="2"/>
    <x v="1"/>
    <n v="38.5"/>
    <n v="0.78"/>
    <n v="1"/>
    <x v="0"/>
    <s v="24+ hrs"/>
    <s v="0-1 hr"/>
    <n v="38.499999999767169"/>
    <s v="Dissatisfied"/>
  </r>
  <r>
    <x v="247"/>
    <d v="2025-01-23T00:00:00"/>
    <d v="2025-01-24T05:33:00"/>
    <x v="2"/>
    <x v="2"/>
    <x v="1"/>
    <x v="0"/>
    <x v="1"/>
    <n v="29.55"/>
    <n v="7.72"/>
    <n v="1"/>
    <x v="0"/>
    <s v="24+ hrs"/>
    <s v="4+ hrs"/>
    <n v="29.549999999930151"/>
    <s v="Dissatisfied"/>
  </r>
  <r>
    <x v="248"/>
    <d v="2025-02-20T00:00:00"/>
    <d v="2025-02-20T14:01:12"/>
    <x v="0"/>
    <x v="2"/>
    <x v="4"/>
    <x v="1"/>
    <x v="2"/>
    <n v="14.02"/>
    <n v="2.92"/>
    <n v="1"/>
    <x v="0"/>
    <s v="8-24 hrs"/>
    <s v="2-4 hrs"/>
    <n v="14.020000000018626"/>
    <s v="Dissatisfied"/>
  </r>
  <r>
    <x v="249"/>
    <d v="2025-02-11T00:00:00"/>
    <d v="2025-02-11T23:30:00"/>
    <x v="2"/>
    <x v="1"/>
    <x v="1"/>
    <x v="1"/>
    <x v="1"/>
    <n v="23.5"/>
    <n v="6.44"/>
    <n v="1"/>
    <x v="1"/>
    <s v="8-24 hrs"/>
    <s v="4+ hrs"/>
    <n v="23.499999999767169"/>
    <s v="Dissatisfied"/>
  </r>
  <r>
    <x v="250"/>
    <d v="2025-01-02T00:00:00"/>
    <d v="2025-01-03T12:40:48"/>
    <x v="0"/>
    <x v="0"/>
    <x v="4"/>
    <x v="1"/>
    <x v="2"/>
    <n v="36.68"/>
    <n v="4.46"/>
    <n v="3"/>
    <x v="0"/>
    <s v="24+ hrs"/>
    <s v="4+ hrs"/>
    <n v="36.680000000225846"/>
    <s v="Neutral"/>
  </r>
  <r>
    <x v="251"/>
    <d v="2025-03-01T00:00:00"/>
    <d v="2025-03-01T22:25:12"/>
    <x v="1"/>
    <x v="0"/>
    <x v="2"/>
    <x v="2"/>
    <x v="1"/>
    <n v="22.42"/>
    <n v="7.63"/>
    <n v="4"/>
    <x v="1"/>
    <s v="8-24 hrs"/>
    <s v="4+ hrs"/>
    <n v="22.420000000158325"/>
    <s v="Satisfied"/>
  </r>
  <r>
    <x v="252"/>
    <d v="2025-02-17T00:00:00"/>
    <d v="2025-02-17T20:52:12"/>
    <x v="0"/>
    <x v="1"/>
    <x v="1"/>
    <x v="0"/>
    <x v="1"/>
    <n v="20.87"/>
    <n v="1.01"/>
    <n v="3"/>
    <x v="1"/>
    <s v="8-24 hrs"/>
    <s v="1-2 hrs"/>
    <n v="20.869999999995343"/>
    <s v="Neutral"/>
  </r>
  <r>
    <x v="253"/>
    <d v="2025-01-13T00:00:00"/>
    <d v="2025-01-14T06:09:00"/>
    <x v="0"/>
    <x v="0"/>
    <x v="3"/>
    <x v="0"/>
    <x v="2"/>
    <n v="30.15"/>
    <n v="3.23"/>
    <n v="2"/>
    <x v="0"/>
    <s v="24+ hrs"/>
    <s v="2-4 hrs"/>
    <n v="30.149999999965075"/>
    <s v="Dissatisfied"/>
  </r>
  <r>
    <x v="254"/>
    <d v="2025-01-27T00:00:00"/>
    <d v="2025-01-28T00:00:00"/>
    <x v="1"/>
    <x v="0"/>
    <x v="4"/>
    <x v="2"/>
    <x v="2"/>
    <n v="24"/>
    <n v="7.16"/>
    <n v="4"/>
    <x v="0"/>
    <s v="8-24 hrs"/>
    <s v="4+ hrs"/>
    <n v="24"/>
    <s v="Satisfied"/>
  </r>
  <r>
    <x v="255"/>
    <d v="2025-02-01T00:00:00"/>
    <d v="2025-02-01T22:37:12"/>
    <x v="2"/>
    <x v="0"/>
    <x v="4"/>
    <x v="0"/>
    <x v="0"/>
    <n v="22.62"/>
    <n v="5.76"/>
    <n v="2"/>
    <x v="0"/>
    <s v="8-24 hrs"/>
    <s v="4+ hrs"/>
    <n v="22.619999999937136"/>
    <s v="Dissatisfied"/>
  </r>
  <r>
    <x v="256"/>
    <d v="2025-01-29T00:00:00"/>
    <d v="2025-01-29T18:33:00"/>
    <x v="1"/>
    <x v="0"/>
    <x v="2"/>
    <x v="1"/>
    <x v="1"/>
    <n v="18.55"/>
    <n v="2.15"/>
    <n v="5"/>
    <x v="1"/>
    <s v="8-24 hrs"/>
    <s v="2-4 hrs"/>
    <n v="18.550000000046566"/>
    <s v="Satisfied"/>
  </r>
  <r>
    <x v="257"/>
    <d v="2025-01-18T00:00:00"/>
    <d v="2025-01-19T06:10:48"/>
    <x v="2"/>
    <x v="0"/>
    <x v="1"/>
    <x v="1"/>
    <x v="1"/>
    <n v="30.18"/>
    <n v="5.16"/>
    <n v="2"/>
    <x v="0"/>
    <s v="24+ hrs"/>
    <s v="4+ hrs"/>
    <n v="30.179999999993015"/>
    <s v="Dissatisfied"/>
  </r>
  <r>
    <x v="258"/>
    <d v="2025-02-18T00:00:00"/>
    <d v="2025-02-19T09:21:00"/>
    <x v="3"/>
    <x v="0"/>
    <x v="2"/>
    <x v="2"/>
    <x v="2"/>
    <n v="33.35"/>
    <n v="4.97"/>
    <n v="3"/>
    <x v="0"/>
    <s v="24+ hrs"/>
    <s v="4+ hrs"/>
    <n v="33.349999999918509"/>
    <s v="Neutral"/>
  </r>
  <r>
    <x v="259"/>
    <d v="2025-02-28T00:00:00"/>
    <d v="2025-02-28T18:30:36"/>
    <x v="0"/>
    <x v="1"/>
    <x v="1"/>
    <x v="2"/>
    <x v="0"/>
    <n v="18.510000000000002"/>
    <n v="5.93"/>
    <n v="3"/>
    <x v="0"/>
    <s v="8-24 hrs"/>
    <s v="4+ hrs"/>
    <n v="18.509999999951106"/>
    <s v="Neutral"/>
  </r>
  <r>
    <x v="260"/>
    <d v="2025-02-14T00:00:00"/>
    <d v="2025-02-15T23:01:12"/>
    <x v="3"/>
    <x v="3"/>
    <x v="2"/>
    <x v="2"/>
    <x v="1"/>
    <n v="47.02"/>
    <n v="1.0900000000000001"/>
    <n v="2"/>
    <x v="0"/>
    <s v="24+ hrs"/>
    <s v="1-2 hrs"/>
    <n v="47.020000000018626"/>
    <s v="Dissatisfied"/>
  </r>
  <r>
    <x v="261"/>
    <d v="2025-01-09T00:00:00"/>
    <d v="2025-01-09T07:08:24"/>
    <x v="3"/>
    <x v="0"/>
    <x v="1"/>
    <x v="2"/>
    <x v="2"/>
    <n v="7.14"/>
    <n v="7.81"/>
    <n v="2"/>
    <x v="1"/>
    <s v="4-8 hrs"/>
    <s v="4+ hrs"/>
    <n v="7.1400000000139698"/>
    <s v="Dissatisfied"/>
  </r>
  <r>
    <x v="262"/>
    <d v="2025-01-27T00:00:00"/>
    <d v="2025-01-27T01:44:24"/>
    <x v="0"/>
    <x v="0"/>
    <x v="3"/>
    <x v="2"/>
    <x v="1"/>
    <n v="1.74"/>
    <n v="3.12"/>
    <n v="2"/>
    <x v="1"/>
    <s v="0-4 hrs"/>
    <s v="2-4 hrs"/>
    <n v="1.7400000000488944"/>
    <s v="Dissatisfied"/>
  </r>
  <r>
    <x v="263"/>
    <d v="2025-02-17T00:00:00"/>
    <d v="2025-02-17T17:23:24"/>
    <x v="1"/>
    <x v="0"/>
    <x v="3"/>
    <x v="2"/>
    <x v="1"/>
    <n v="17.39"/>
    <n v="4.8099999999999996"/>
    <n v="1"/>
    <x v="1"/>
    <s v="8-24 hrs"/>
    <s v="4+ hrs"/>
    <n v="17.3900000002468"/>
    <s v="Dissatisfied"/>
  </r>
  <r>
    <x v="264"/>
    <d v="2025-02-07T00:00:00"/>
    <d v="2025-02-07T21:28:48"/>
    <x v="1"/>
    <x v="0"/>
    <x v="2"/>
    <x v="2"/>
    <x v="0"/>
    <n v="21.48"/>
    <n v="7.38"/>
    <n v="3"/>
    <x v="0"/>
    <s v="8-24 hrs"/>
    <s v="4+ hrs"/>
    <n v="21.479999999923166"/>
    <s v="Neutral"/>
  </r>
  <r>
    <x v="265"/>
    <d v="2025-03-12T00:00:00"/>
    <d v="2025-03-13T14:56:24"/>
    <x v="0"/>
    <x v="3"/>
    <x v="1"/>
    <x v="2"/>
    <x v="0"/>
    <n v="38.94"/>
    <n v="0.82"/>
    <n v="1"/>
    <x v="0"/>
    <s v="24+ hrs"/>
    <s v="0-1 hr"/>
    <n v="38.939999999944121"/>
    <s v="Dissatisfied"/>
  </r>
  <r>
    <x v="266"/>
    <d v="2025-01-29T00:00:00"/>
    <d v="2025-01-30T09:15:00"/>
    <x v="0"/>
    <x v="3"/>
    <x v="3"/>
    <x v="0"/>
    <x v="1"/>
    <n v="33.25"/>
    <n v="2.58"/>
    <n v="5"/>
    <x v="0"/>
    <s v="24+ hrs"/>
    <s v="2-4 hrs"/>
    <n v="33.249999999767169"/>
    <s v="Satisfied"/>
  </r>
  <r>
    <x v="267"/>
    <d v="2025-01-07T00:00:00"/>
    <d v="2025-01-07T15:16:48"/>
    <x v="2"/>
    <x v="0"/>
    <x v="1"/>
    <x v="0"/>
    <x v="1"/>
    <n v="15.28"/>
    <n v="2.0299999999999998"/>
    <n v="1"/>
    <x v="1"/>
    <s v="8-24 hrs"/>
    <s v="2-4 hrs"/>
    <n v="15.280000000144355"/>
    <s v="Dissatisfied"/>
  </r>
  <r>
    <x v="268"/>
    <d v="2025-01-23T00:00:00"/>
    <d v="2025-01-24T02:39:00"/>
    <x v="3"/>
    <x v="0"/>
    <x v="0"/>
    <x v="0"/>
    <x v="0"/>
    <n v="26.65"/>
    <n v="3.09"/>
    <n v="1"/>
    <x v="0"/>
    <s v="24+ hrs"/>
    <s v="2-4 hrs"/>
    <n v="26.650000000081491"/>
    <s v="Dissatisfied"/>
  </r>
  <r>
    <x v="269"/>
    <d v="2025-02-14T00:00:00"/>
    <d v="2025-02-15T23:19:12"/>
    <x v="3"/>
    <x v="0"/>
    <x v="0"/>
    <x v="0"/>
    <x v="1"/>
    <n v="47.32"/>
    <n v="5.13"/>
    <n v="5"/>
    <x v="0"/>
    <s v="24+ hrs"/>
    <s v="4+ hrs"/>
    <n v="47.319999999774154"/>
    <s v="Satisfied"/>
  </r>
  <r>
    <x v="270"/>
    <d v="2025-03-19T00:00:00"/>
    <d v="2025-03-20T04:15:00"/>
    <x v="0"/>
    <x v="0"/>
    <x v="0"/>
    <x v="2"/>
    <x v="1"/>
    <n v="28.25"/>
    <n v="7.93"/>
    <n v="2"/>
    <x v="0"/>
    <s v="24+ hrs"/>
    <s v="4+ hrs"/>
    <n v="28.250000000232831"/>
    <s v="Dissatisfied"/>
  </r>
  <r>
    <x v="271"/>
    <d v="2025-03-25T00:00:00"/>
    <d v="2025-03-26T15:13:12"/>
    <x v="1"/>
    <x v="3"/>
    <x v="1"/>
    <x v="2"/>
    <x v="2"/>
    <n v="39.22"/>
    <n v="3.46"/>
    <n v="3"/>
    <x v="0"/>
    <s v="24+ hrs"/>
    <s v="2-4 hrs"/>
    <n v="39.219999999913853"/>
    <s v="Neutral"/>
  </r>
  <r>
    <x v="272"/>
    <d v="2025-03-19T00:00:00"/>
    <d v="2025-03-20T18:13:48"/>
    <x v="1"/>
    <x v="2"/>
    <x v="2"/>
    <x v="1"/>
    <x v="1"/>
    <n v="42.23"/>
    <n v="5.72"/>
    <n v="3"/>
    <x v="0"/>
    <s v="24+ hrs"/>
    <s v="4+ hrs"/>
    <n v="42.229999999981374"/>
    <s v="Neutral"/>
  </r>
  <r>
    <x v="273"/>
    <d v="2025-01-12T00:00:00"/>
    <d v="2025-01-13T22:44:24"/>
    <x v="1"/>
    <x v="2"/>
    <x v="0"/>
    <x v="1"/>
    <x v="1"/>
    <n v="46.74"/>
    <n v="2.37"/>
    <n v="2"/>
    <x v="0"/>
    <s v="24+ hrs"/>
    <s v="2-4 hrs"/>
    <n v="46.740000000048894"/>
    <s v="Dissatisfied"/>
  </r>
  <r>
    <x v="274"/>
    <d v="2025-02-02T00:00:00"/>
    <d v="2025-02-03T06:19:48"/>
    <x v="3"/>
    <x v="2"/>
    <x v="4"/>
    <x v="1"/>
    <x v="2"/>
    <n v="30.33"/>
    <n v="6.1"/>
    <n v="5"/>
    <x v="0"/>
    <s v="24+ hrs"/>
    <s v="4+ hrs"/>
    <n v="30.32999999995809"/>
    <s v="Satisfied"/>
  </r>
  <r>
    <x v="275"/>
    <d v="2025-03-21T00:00:00"/>
    <d v="2025-03-21T22:16:12"/>
    <x v="2"/>
    <x v="3"/>
    <x v="1"/>
    <x v="2"/>
    <x v="2"/>
    <n v="22.27"/>
    <n v="1.46"/>
    <n v="1"/>
    <x v="0"/>
    <s v="8-24 hrs"/>
    <s v="1-2 hrs"/>
    <n v="22.270000000018626"/>
    <s v="Dissatisfied"/>
  </r>
  <r>
    <x v="276"/>
    <d v="2025-01-21T00:00:00"/>
    <d v="2025-01-21T10:17:24"/>
    <x v="0"/>
    <x v="1"/>
    <x v="3"/>
    <x v="0"/>
    <x v="2"/>
    <n v="10.29"/>
    <n v="5.55"/>
    <n v="2"/>
    <x v="0"/>
    <s v="8-24 hrs"/>
    <s v="4+ hrs"/>
    <n v="10.289999999979045"/>
    <s v="Dissatisfied"/>
  </r>
  <r>
    <x v="277"/>
    <d v="2025-01-06T00:00:00"/>
    <d v="2025-01-07T10:53:24"/>
    <x v="2"/>
    <x v="0"/>
    <x v="0"/>
    <x v="0"/>
    <x v="0"/>
    <n v="34.89"/>
    <n v="5.72"/>
    <n v="5"/>
    <x v="0"/>
    <s v="24+ hrs"/>
    <s v="4+ hrs"/>
    <n v="34.89000000001397"/>
    <s v="Satisfied"/>
  </r>
  <r>
    <x v="278"/>
    <d v="2025-01-03T00:00:00"/>
    <d v="2025-01-03T18:43:12"/>
    <x v="3"/>
    <x v="1"/>
    <x v="2"/>
    <x v="0"/>
    <x v="1"/>
    <n v="18.72"/>
    <n v="6.15"/>
    <n v="3"/>
    <x v="1"/>
    <s v="8-24 hrs"/>
    <s v="4+ hrs"/>
    <n v="18.71999999997206"/>
    <s v="Neutral"/>
  </r>
  <r>
    <x v="279"/>
    <d v="2025-02-04T00:00:00"/>
    <d v="2025-02-05T15:00:36"/>
    <x v="1"/>
    <x v="2"/>
    <x v="4"/>
    <x v="0"/>
    <x v="0"/>
    <n v="39.01"/>
    <n v="2.75"/>
    <n v="3"/>
    <x v="0"/>
    <s v="24+ hrs"/>
    <s v="2-4 hrs"/>
    <n v="39.010000000067521"/>
    <s v="Neutral"/>
  </r>
  <r>
    <x v="280"/>
    <d v="2025-01-13T00:00:00"/>
    <d v="2025-01-13T01:57:00"/>
    <x v="1"/>
    <x v="0"/>
    <x v="0"/>
    <x v="2"/>
    <x v="0"/>
    <n v="1.95"/>
    <n v="3.92"/>
    <n v="2"/>
    <x v="1"/>
    <s v="0-4 hrs"/>
    <s v="2-4 hrs"/>
    <n v="1.9500000000698492"/>
    <s v="Dissatisfied"/>
  </r>
  <r>
    <x v="281"/>
    <d v="2025-01-29T00:00:00"/>
    <d v="2025-01-29T23:21:36"/>
    <x v="2"/>
    <x v="1"/>
    <x v="4"/>
    <x v="1"/>
    <x v="2"/>
    <n v="23.36"/>
    <n v="7.96"/>
    <n v="2"/>
    <x v="0"/>
    <s v="8-24 hrs"/>
    <s v="4+ hrs"/>
    <n v="23.360000000218861"/>
    <s v="Dissatisfied"/>
  </r>
  <r>
    <x v="282"/>
    <d v="2025-01-18T00:00:00"/>
    <d v="2025-01-18T20:36:36"/>
    <x v="2"/>
    <x v="2"/>
    <x v="3"/>
    <x v="2"/>
    <x v="0"/>
    <n v="20.61"/>
    <n v="6.31"/>
    <n v="4"/>
    <x v="0"/>
    <s v="8-24 hrs"/>
    <s v="4+ hrs"/>
    <n v="20.60999999998603"/>
    <s v="Satisfied"/>
  </r>
  <r>
    <x v="283"/>
    <d v="2025-02-25T00:00:00"/>
    <d v="2025-02-25T04:31:12"/>
    <x v="2"/>
    <x v="2"/>
    <x v="1"/>
    <x v="0"/>
    <x v="1"/>
    <n v="4.5199999999999996"/>
    <n v="6.63"/>
    <n v="4"/>
    <x v="1"/>
    <s v="4-8 hrs"/>
    <s v="4+ hrs"/>
    <n v="4.5199999999604188"/>
    <s v="Satisfied"/>
  </r>
  <r>
    <x v="284"/>
    <d v="2025-02-07T00:00:00"/>
    <d v="2025-02-07T20:00:36"/>
    <x v="0"/>
    <x v="0"/>
    <x v="0"/>
    <x v="1"/>
    <x v="2"/>
    <n v="20.010000000000002"/>
    <n v="5.84"/>
    <n v="2"/>
    <x v="0"/>
    <s v="8-24 hrs"/>
    <s v="4+ hrs"/>
    <n v="20.009999999951106"/>
    <s v="Dissatisfied"/>
  </r>
  <r>
    <x v="285"/>
    <d v="2025-04-01T00:00:00"/>
    <d v="2025-04-01T10:16:12"/>
    <x v="0"/>
    <x v="1"/>
    <x v="1"/>
    <x v="2"/>
    <x v="0"/>
    <n v="10.27"/>
    <n v="4.29"/>
    <n v="3"/>
    <x v="0"/>
    <s v="8-24 hrs"/>
    <s v="4+ hrs"/>
    <n v="10.270000000018626"/>
    <s v="Neutral"/>
  </r>
  <r>
    <x v="286"/>
    <d v="2025-02-14T00:00:00"/>
    <d v="2025-02-15T09:09:00"/>
    <x v="2"/>
    <x v="2"/>
    <x v="2"/>
    <x v="1"/>
    <x v="2"/>
    <n v="33.15"/>
    <n v="0.83"/>
    <n v="1"/>
    <x v="0"/>
    <s v="24+ hrs"/>
    <s v="0-1 hr"/>
    <n v="33.149999999965075"/>
    <s v="Dissatisfied"/>
  </r>
  <r>
    <x v="287"/>
    <d v="2025-03-15T00:00:00"/>
    <d v="2025-03-16T20:18:00"/>
    <x v="0"/>
    <x v="1"/>
    <x v="4"/>
    <x v="2"/>
    <x v="2"/>
    <n v="44.3"/>
    <n v="5.65"/>
    <n v="5"/>
    <x v="0"/>
    <s v="24+ hrs"/>
    <s v="4+ hrs"/>
    <n v="44.299999999988358"/>
    <s v="Satisfied"/>
  </r>
  <r>
    <x v="288"/>
    <d v="2025-03-23T00:00:00"/>
    <d v="2025-03-23T08:43:12"/>
    <x v="0"/>
    <x v="2"/>
    <x v="2"/>
    <x v="1"/>
    <x v="1"/>
    <n v="8.7200000000000006"/>
    <n v="5.33"/>
    <n v="4"/>
    <x v="1"/>
    <s v="8-24 hrs"/>
    <s v="4+ hrs"/>
    <n v="8.719999999855645"/>
    <s v="Satisfied"/>
  </r>
  <r>
    <x v="289"/>
    <d v="2025-03-17T00:00:00"/>
    <d v="2025-03-18T06:25:12"/>
    <x v="1"/>
    <x v="2"/>
    <x v="0"/>
    <x v="0"/>
    <x v="1"/>
    <n v="30.42"/>
    <n v="3.57"/>
    <n v="5"/>
    <x v="0"/>
    <s v="24+ hrs"/>
    <s v="2-4 hrs"/>
    <n v="30.42000000004191"/>
    <s v="Satisfied"/>
  </r>
  <r>
    <x v="290"/>
    <d v="2025-02-01T00:00:00"/>
    <d v="2025-02-01T17:10:48"/>
    <x v="0"/>
    <x v="2"/>
    <x v="3"/>
    <x v="1"/>
    <x v="2"/>
    <n v="17.18"/>
    <n v="6.13"/>
    <n v="3"/>
    <x v="0"/>
    <s v="8-24 hrs"/>
    <s v="4+ hrs"/>
    <n v="17.180000000225846"/>
    <s v="Neutral"/>
  </r>
  <r>
    <x v="291"/>
    <d v="2025-03-23T00:00:00"/>
    <d v="2025-03-23T22:40:12"/>
    <x v="3"/>
    <x v="3"/>
    <x v="3"/>
    <x v="0"/>
    <x v="1"/>
    <n v="22.67"/>
    <n v="4.29"/>
    <n v="1"/>
    <x v="1"/>
    <s v="8-24 hrs"/>
    <s v="4+ hrs"/>
    <n v="22.669999999925494"/>
    <s v="Dissatisfied"/>
  </r>
  <r>
    <x v="292"/>
    <d v="2025-01-19T00:00:00"/>
    <d v="2025-01-19T20:24:36"/>
    <x v="2"/>
    <x v="1"/>
    <x v="2"/>
    <x v="2"/>
    <x v="0"/>
    <n v="20.41"/>
    <n v="4.3099999999999996"/>
    <n v="1"/>
    <x v="0"/>
    <s v="8-24 hrs"/>
    <s v="4+ hrs"/>
    <n v="20.410000000032596"/>
    <s v="Dissatisfied"/>
  </r>
  <r>
    <x v="293"/>
    <d v="2025-02-10T00:00:00"/>
    <d v="2025-02-10T11:23:24"/>
    <x v="3"/>
    <x v="0"/>
    <x v="0"/>
    <x v="2"/>
    <x v="0"/>
    <n v="11.39"/>
    <n v="5.97"/>
    <n v="2"/>
    <x v="0"/>
    <s v="8-24 hrs"/>
    <s v="4+ hrs"/>
    <n v="11.3900000002468"/>
    <s v="Dissatisfied"/>
  </r>
  <r>
    <x v="294"/>
    <d v="2025-01-26T00:00:00"/>
    <d v="2025-01-26T10:02:24"/>
    <x v="0"/>
    <x v="2"/>
    <x v="4"/>
    <x v="2"/>
    <x v="0"/>
    <n v="10.039999999999999"/>
    <n v="7.76"/>
    <n v="5"/>
    <x v="0"/>
    <s v="8-24 hrs"/>
    <s v="4+ hrs"/>
    <n v="10.03999999986263"/>
    <s v="Satisfied"/>
  </r>
  <r>
    <x v="295"/>
    <d v="2025-03-26T00:00:00"/>
    <d v="2025-03-26T12:43:12"/>
    <x v="2"/>
    <x v="3"/>
    <x v="3"/>
    <x v="1"/>
    <x v="1"/>
    <n v="12.72"/>
    <n v="3.9"/>
    <n v="5"/>
    <x v="1"/>
    <s v="8-24 hrs"/>
    <s v="2-4 hrs"/>
    <n v="12.71999999997206"/>
    <s v="Satisfied"/>
  </r>
  <r>
    <x v="296"/>
    <d v="2025-02-11T00:00:00"/>
    <d v="2025-02-12T12:34:12"/>
    <x v="2"/>
    <x v="3"/>
    <x v="4"/>
    <x v="1"/>
    <x v="0"/>
    <n v="36.57"/>
    <n v="4.03"/>
    <n v="2"/>
    <x v="0"/>
    <s v="24+ hrs"/>
    <s v="4+ hrs"/>
    <n v="36.570000000006985"/>
    <s v="Dissatisfied"/>
  </r>
  <r>
    <x v="297"/>
    <d v="2025-03-05T00:00:00"/>
    <d v="2025-03-06T07:28:48"/>
    <x v="3"/>
    <x v="0"/>
    <x v="3"/>
    <x v="0"/>
    <x v="2"/>
    <n v="31.48"/>
    <n v="3.61"/>
    <n v="2"/>
    <x v="0"/>
    <s v="24+ hrs"/>
    <s v="2-4 hrs"/>
    <n v="31.480000000039581"/>
    <s v="Dissatisfied"/>
  </r>
  <r>
    <x v="298"/>
    <d v="2025-03-24T00:00:00"/>
    <d v="2025-03-25T01:36:00"/>
    <x v="0"/>
    <x v="0"/>
    <x v="1"/>
    <x v="1"/>
    <x v="0"/>
    <n v="25.6"/>
    <n v="7.17"/>
    <n v="3"/>
    <x v="0"/>
    <s v="24+ hrs"/>
    <s v="4+ hrs"/>
    <n v="25.60000000015134"/>
    <s v="Neutral"/>
  </r>
  <r>
    <x v="299"/>
    <d v="2025-01-19T00:00:00"/>
    <d v="2025-01-20T20:37:48"/>
    <x v="3"/>
    <x v="1"/>
    <x v="2"/>
    <x v="1"/>
    <x v="1"/>
    <n v="44.63"/>
    <n v="3.06"/>
    <n v="2"/>
    <x v="0"/>
    <s v="24+ hrs"/>
    <s v="2-4 hrs"/>
    <n v="44.629999999946449"/>
    <s v="Dissatisfied"/>
  </r>
  <r>
    <x v="300"/>
    <d v="2025-02-13T00:00:00"/>
    <d v="2025-02-14T12:52:48"/>
    <x v="2"/>
    <x v="3"/>
    <x v="4"/>
    <x v="0"/>
    <x v="2"/>
    <n v="36.880000000000003"/>
    <n v="5.67"/>
    <n v="1"/>
    <x v="0"/>
    <s v="24+ hrs"/>
    <s v="4+ hrs"/>
    <n v="36.880000000004657"/>
    <s v="Dissatisfied"/>
  </r>
  <r>
    <x v="301"/>
    <d v="2025-01-13T00:00:00"/>
    <d v="2025-01-13T22:43:48"/>
    <x v="2"/>
    <x v="0"/>
    <x v="2"/>
    <x v="1"/>
    <x v="1"/>
    <n v="22.73"/>
    <n v="1.54"/>
    <n v="1"/>
    <x v="1"/>
    <s v="8-24 hrs"/>
    <s v="1-2 hrs"/>
    <n v="22.729999999981374"/>
    <s v="Dissatisfied"/>
  </r>
  <r>
    <x v="302"/>
    <d v="2025-01-04T00:00:00"/>
    <d v="2025-01-04T13:03:36"/>
    <x v="2"/>
    <x v="1"/>
    <x v="2"/>
    <x v="0"/>
    <x v="2"/>
    <n v="13.06"/>
    <n v="3.54"/>
    <n v="4"/>
    <x v="0"/>
    <s v="8-24 hrs"/>
    <s v="2-4 hrs"/>
    <n v="13.059999999997672"/>
    <s v="Satisfied"/>
  </r>
  <r>
    <x v="303"/>
    <d v="2025-03-15T00:00:00"/>
    <d v="2025-03-16T03:37:48"/>
    <x v="1"/>
    <x v="0"/>
    <x v="2"/>
    <x v="2"/>
    <x v="2"/>
    <n v="27.63"/>
    <n v="7.65"/>
    <n v="5"/>
    <x v="0"/>
    <s v="24+ hrs"/>
    <s v="4+ hrs"/>
    <n v="27.630000000062864"/>
    <s v="Satisfied"/>
  </r>
  <r>
    <x v="304"/>
    <d v="2025-03-08T00:00:00"/>
    <d v="2025-03-09T00:43:48"/>
    <x v="2"/>
    <x v="0"/>
    <x v="2"/>
    <x v="2"/>
    <x v="2"/>
    <n v="24.73"/>
    <n v="2.29"/>
    <n v="1"/>
    <x v="0"/>
    <s v="24+ hrs"/>
    <s v="2-4 hrs"/>
    <n v="24.730000000039581"/>
    <s v="Dissatisfied"/>
  </r>
  <r>
    <x v="305"/>
    <d v="2025-03-09T00:00:00"/>
    <d v="2025-03-09T05:51:36"/>
    <x v="0"/>
    <x v="1"/>
    <x v="0"/>
    <x v="2"/>
    <x v="1"/>
    <n v="5.86"/>
    <n v="1.82"/>
    <n v="3"/>
    <x v="1"/>
    <s v="4-8 hrs"/>
    <s v="1-2 hrs"/>
    <n v="5.8599999997531995"/>
    <s v="Neutral"/>
  </r>
  <r>
    <x v="306"/>
    <d v="2025-03-07T00:00:00"/>
    <d v="2025-03-08T02:45:36"/>
    <x v="1"/>
    <x v="1"/>
    <x v="1"/>
    <x v="0"/>
    <x v="2"/>
    <n v="26.76"/>
    <n v="2.19"/>
    <n v="5"/>
    <x v="0"/>
    <s v="24+ hrs"/>
    <s v="2-4 hrs"/>
    <n v="26.759999999951106"/>
    <s v="Satisfied"/>
  </r>
  <r>
    <x v="307"/>
    <d v="2025-03-24T00:00:00"/>
    <d v="2025-03-25T01:15:36"/>
    <x v="1"/>
    <x v="3"/>
    <x v="1"/>
    <x v="0"/>
    <x v="0"/>
    <n v="25.26"/>
    <n v="2.95"/>
    <n v="3"/>
    <x v="0"/>
    <s v="24+ hrs"/>
    <s v="2-4 hrs"/>
    <n v="25.259999999951106"/>
    <s v="Neutral"/>
  </r>
  <r>
    <x v="308"/>
    <d v="2025-01-06T00:00:00"/>
    <d v="2025-01-07T14:47:24"/>
    <x v="1"/>
    <x v="1"/>
    <x v="1"/>
    <x v="0"/>
    <x v="2"/>
    <n v="38.79"/>
    <n v="0.51"/>
    <n v="5"/>
    <x v="0"/>
    <s v="24+ hrs"/>
    <s v="0-1 hr"/>
    <n v="38.789999999979045"/>
    <s v="Satisfied"/>
  </r>
  <r>
    <x v="309"/>
    <d v="2025-03-10T00:00:00"/>
    <d v="2025-03-10T04:55:12"/>
    <x v="2"/>
    <x v="3"/>
    <x v="2"/>
    <x v="0"/>
    <x v="2"/>
    <n v="4.92"/>
    <n v="7.97"/>
    <n v="5"/>
    <x v="1"/>
    <s v="4-8 hrs"/>
    <s v="4+ hrs"/>
    <n v="4.9200000000419095"/>
    <s v="Satisfied"/>
  </r>
  <r>
    <x v="310"/>
    <d v="2025-01-06T00:00:00"/>
    <d v="2025-01-06T05:09:00"/>
    <x v="2"/>
    <x v="0"/>
    <x v="4"/>
    <x v="0"/>
    <x v="0"/>
    <n v="5.15"/>
    <n v="2.29"/>
    <n v="2"/>
    <x v="0"/>
    <s v="4-8 hrs"/>
    <s v="2-4 hrs"/>
    <n v="5.1499999998486601"/>
    <s v="Dissatisfied"/>
  </r>
  <r>
    <x v="311"/>
    <d v="2025-02-23T00:00:00"/>
    <d v="2025-02-24T15:22:12"/>
    <x v="3"/>
    <x v="1"/>
    <x v="4"/>
    <x v="0"/>
    <x v="2"/>
    <n v="39.369999999999997"/>
    <n v="1.32"/>
    <n v="3"/>
    <x v="0"/>
    <s v="24+ hrs"/>
    <s v="1-2 hrs"/>
    <n v="39.370000000053551"/>
    <s v="Neutral"/>
  </r>
  <r>
    <x v="312"/>
    <d v="2025-02-16T00:00:00"/>
    <d v="2025-02-16T13:58:48"/>
    <x v="3"/>
    <x v="2"/>
    <x v="2"/>
    <x v="1"/>
    <x v="2"/>
    <n v="13.98"/>
    <n v="4.42"/>
    <n v="1"/>
    <x v="0"/>
    <s v="8-24 hrs"/>
    <s v="4+ hrs"/>
    <n v="13.979999999923166"/>
    <s v="Dissatisfied"/>
  </r>
  <r>
    <x v="313"/>
    <d v="2025-03-09T00:00:00"/>
    <d v="2025-03-09T23:41:24"/>
    <x v="2"/>
    <x v="3"/>
    <x v="4"/>
    <x v="2"/>
    <x v="1"/>
    <n v="23.69"/>
    <n v="5.34"/>
    <n v="5"/>
    <x v="1"/>
    <s v="8-24 hrs"/>
    <s v="4+ hrs"/>
    <n v="23.690000000002328"/>
    <s v="Satisfied"/>
  </r>
  <r>
    <x v="314"/>
    <d v="2025-02-20T00:00:00"/>
    <d v="2025-02-21T03:44:24"/>
    <x v="3"/>
    <x v="1"/>
    <x v="4"/>
    <x v="0"/>
    <x v="0"/>
    <n v="27.74"/>
    <n v="3.75"/>
    <n v="2"/>
    <x v="0"/>
    <s v="24+ hrs"/>
    <s v="2-4 hrs"/>
    <n v="27.739999999932479"/>
    <s v="Dissatisfied"/>
  </r>
  <r>
    <x v="315"/>
    <d v="2025-02-22T00:00:00"/>
    <d v="2025-02-23T23:34:12"/>
    <x v="2"/>
    <x v="2"/>
    <x v="3"/>
    <x v="0"/>
    <x v="1"/>
    <n v="47.57"/>
    <n v="3.2"/>
    <n v="2"/>
    <x v="0"/>
    <s v="24+ hrs"/>
    <s v="2-4 hrs"/>
    <n v="47.570000000239816"/>
    <s v="Dissatisfied"/>
  </r>
  <r>
    <x v="316"/>
    <d v="2025-01-08T00:00:00"/>
    <d v="2025-01-08T12:21:36"/>
    <x v="3"/>
    <x v="1"/>
    <x v="0"/>
    <x v="0"/>
    <x v="2"/>
    <n v="12.36"/>
    <n v="3.03"/>
    <n v="2"/>
    <x v="0"/>
    <s v="8-24 hrs"/>
    <s v="2-4 hrs"/>
    <n v="12.35999999998603"/>
    <s v="Dissatisfied"/>
  </r>
  <r>
    <x v="317"/>
    <d v="2025-02-10T00:00:00"/>
    <d v="2025-02-10T02:47:24"/>
    <x v="1"/>
    <x v="1"/>
    <x v="0"/>
    <x v="1"/>
    <x v="2"/>
    <n v="2.79"/>
    <n v="1.39"/>
    <n v="4"/>
    <x v="1"/>
    <s v="0-4 hrs"/>
    <s v="1-2 hrs"/>
    <n v="2.7899999999790452"/>
    <s v="Satisfied"/>
  </r>
  <r>
    <x v="318"/>
    <d v="2025-01-22T00:00:00"/>
    <d v="2025-01-23T04:48:36"/>
    <x v="3"/>
    <x v="1"/>
    <x v="3"/>
    <x v="1"/>
    <x v="1"/>
    <n v="28.81"/>
    <n v="0.77"/>
    <n v="1"/>
    <x v="0"/>
    <s v="24+ hrs"/>
    <s v="0-1 hr"/>
    <n v="28.809999999997672"/>
    <s v="Dissatisfied"/>
  </r>
  <r>
    <x v="319"/>
    <d v="2025-01-26T00:00:00"/>
    <d v="2025-01-26T07:45:36"/>
    <x v="1"/>
    <x v="0"/>
    <x v="0"/>
    <x v="2"/>
    <x v="0"/>
    <n v="7.76"/>
    <n v="5.16"/>
    <n v="4"/>
    <x v="0"/>
    <s v="4-8 hrs"/>
    <s v="4+ hrs"/>
    <n v="7.7599999998346902"/>
    <s v="Satisfied"/>
  </r>
  <r>
    <x v="320"/>
    <d v="2025-01-27T00:00:00"/>
    <d v="2025-01-27T06:39:36"/>
    <x v="0"/>
    <x v="0"/>
    <x v="1"/>
    <x v="0"/>
    <x v="0"/>
    <n v="6.66"/>
    <n v="4.09"/>
    <n v="2"/>
    <x v="0"/>
    <s v="4-8 hrs"/>
    <s v="4+ hrs"/>
    <n v="6.659999999916181"/>
    <s v="Dissatisfied"/>
  </r>
  <r>
    <x v="321"/>
    <d v="2025-01-07T00:00:00"/>
    <d v="2025-01-07T20:39:36"/>
    <x v="0"/>
    <x v="3"/>
    <x v="2"/>
    <x v="0"/>
    <x v="2"/>
    <n v="20.66"/>
    <n v="6.3"/>
    <n v="3"/>
    <x v="0"/>
    <s v="8-24 hrs"/>
    <s v="4+ hrs"/>
    <n v="20.659999999974389"/>
    <s v="Neutral"/>
  </r>
  <r>
    <x v="322"/>
    <d v="2025-02-10T00:00:00"/>
    <d v="2025-02-10T16:37:12"/>
    <x v="0"/>
    <x v="1"/>
    <x v="3"/>
    <x v="1"/>
    <x v="0"/>
    <n v="16.62"/>
    <n v="3.33"/>
    <n v="4"/>
    <x v="0"/>
    <s v="8-24 hrs"/>
    <s v="2-4 hrs"/>
    <n v="16.619999999937136"/>
    <s v="Satisfied"/>
  </r>
  <r>
    <x v="323"/>
    <d v="2025-03-01T00:00:00"/>
    <d v="2025-03-02T15:22:48"/>
    <x v="0"/>
    <x v="3"/>
    <x v="4"/>
    <x v="0"/>
    <x v="0"/>
    <n v="39.380000000000003"/>
    <n v="0.88"/>
    <n v="2"/>
    <x v="0"/>
    <s v="24+ hrs"/>
    <s v="0-1 hr"/>
    <n v="39.379999999946449"/>
    <s v="Dissatisfied"/>
  </r>
  <r>
    <x v="324"/>
    <d v="2025-03-29T00:00:00"/>
    <d v="2025-03-30T13:54:00"/>
    <x v="3"/>
    <x v="3"/>
    <x v="4"/>
    <x v="2"/>
    <x v="1"/>
    <n v="37.9"/>
    <n v="2.89"/>
    <n v="5"/>
    <x v="0"/>
    <s v="24+ hrs"/>
    <s v="2-4 hrs"/>
    <n v="37.900000000081491"/>
    <s v="Satisfied"/>
  </r>
  <r>
    <x v="325"/>
    <d v="2025-02-17T00:00:00"/>
    <d v="2025-02-17T16:00:36"/>
    <x v="1"/>
    <x v="2"/>
    <x v="4"/>
    <x v="2"/>
    <x v="1"/>
    <n v="16.010000000000002"/>
    <n v="6.16"/>
    <n v="4"/>
    <x v="1"/>
    <s v="8-24 hrs"/>
    <s v="4+ hrs"/>
    <n v="16.00999999983469"/>
    <s v="Satisfied"/>
  </r>
  <r>
    <x v="326"/>
    <d v="2025-02-18T00:00:00"/>
    <d v="2025-02-19T08:51:00"/>
    <x v="3"/>
    <x v="3"/>
    <x v="4"/>
    <x v="1"/>
    <x v="1"/>
    <n v="32.85"/>
    <n v="2.25"/>
    <n v="1"/>
    <x v="0"/>
    <s v="24+ hrs"/>
    <s v="2-4 hrs"/>
    <n v="32.850000000034925"/>
    <s v="Dissatisfied"/>
  </r>
  <r>
    <x v="327"/>
    <d v="2025-01-13T00:00:00"/>
    <d v="2025-01-14T10:09:00"/>
    <x v="2"/>
    <x v="1"/>
    <x v="1"/>
    <x v="1"/>
    <x v="1"/>
    <n v="34.15"/>
    <n v="5.96"/>
    <n v="2"/>
    <x v="0"/>
    <s v="24+ hrs"/>
    <s v="4+ hrs"/>
    <n v="34.150000000081491"/>
    <s v="Dissatisfied"/>
  </r>
  <r>
    <x v="328"/>
    <d v="2025-02-18T00:00:00"/>
    <d v="2025-02-18T18:20:24"/>
    <x v="3"/>
    <x v="1"/>
    <x v="2"/>
    <x v="1"/>
    <x v="1"/>
    <n v="18.34"/>
    <n v="4.91"/>
    <n v="1"/>
    <x v="1"/>
    <s v="8-24 hrs"/>
    <s v="4+ hrs"/>
    <n v="18.340000000025611"/>
    <s v="Dissatisfied"/>
  </r>
  <r>
    <x v="329"/>
    <d v="2025-01-25T00:00:00"/>
    <d v="2025-01-25T09:53:24"/>
    <x v="0"/>
    <x v="1"/>
    <x v="1"/>
    <x v="2"/>
    <x v="2"/>
    <n v="9.89"/>
    <n v="8"/>
    <n v="1"/>
    <x v="0"/>
    <s v="8-24 hrs"/>
    <s v="4+ hrs"/>
    <n v="9.8900000002468005"/>
    <s v="Dissatisfied"/>
  </r>
  <r>
    <x v="330"/>
    <d v="2025-01-29T00:00:00"/>
    <d v="2025-01-30T03:34:48"/>
    <x v="1"/>
    <x v="0"/>
    <x v="2"/>
    <x v="2"/>
    <x v="0"/>
    <n v="27.58"/>
    <n v="2.34"/>
    <n v="2"/>
    <x v="0"/>
    <s v="24+ hrs"/>
    <s v="2-4 hrs"/>
    <n v="27.580000000074506"/>
    <s v="Dissatisfied"/>
  </r>
  <r>
    <x v="331"/>
    <d v="2025-03-14T00:00:00"/>
    <d v="2025-03-14T01:01:12"/>
    <x v="1"/>
    <x v="2"/>
    <x v="3"/>
    <x v="1"/>
    <x v="0"/>
    <n v="1.02"/>
    <n v="4.12"/>
    <n v="5"/>
    <x v="1"/>
    <s v="0-4 hrs"/>
    <s v="4+ hrs"/>
    <n v="1.0200000000768341"/>
    <s v="Satisfied"/>
  </r>
  <r>
    <x v="332"/>
    <d v="2025-03-13T00:00:00"/>
    <d v="2025-03-13T04:11:24"/>
    <x v="2"/>
    <x v="3"/>
    <x v="3"/>
    <x v="2"/>
    <x v="1"/>
    <n v="4.1900000000000004"/>
    <n v="1.73"/>
    <n v="1"/>
    <x v="1"/>
    <s v="4-8 hrs"/>
    <s v="1-2 hrs"/>
    <n v="4.1900000000023283"/>
    <s v="Dissatisfied"/>
  </r>
  <r>
    <x v="333"/>
    <d v="2025-03-27T00:00:00"/>
    <d v="2025-03-27T12:58:48"/>
    <x v="2"/>
    <x v="0"/>
    <x v="2"/>
    <x v="2"/>
    <x v="2"/>
    <n v="12.98"/>
    <n v="4.79"/>
    <n v="3"/>
    <x v="0"/>
    <s v="8-24 hrs"/>
    <s v="4+ hrs"/>
    <n v="12.979999999981374"/>
    <s v="Neutral"/>
  </r>
  <r>
    <x v="334"/>
    <d v="2025-02-03T00:00:00"/>
    <d v="2025-02-04T08:51:00"/>
    <x v="0"/>
    <x v="1"/>
    <x v="4"/>
    <x v="2"/>
    <x v="2"/>
    <n v="32.85"/>
    <n v="2.11"/>
    <n v="3"/>
    <x v="0"/>
    <s v="24+ hrs"/>
    <s v="2-4 hrs"/>
    <n v="32.850000000034925"/>
    <s v="Neutral"/>
  </r>
  <r>
    <x v="335"/>
    <d v="2025-02-23T00:00:00"/>
    <d v="2025-02-24T16:36:00"/>
    <x v="1"/>
    <x v="0"/>
    <x v="4"/>
    <x v="2"/>
    <x v="1"/>
    <n v="40.6"/>
    <n v="1.3"/>
    <n v="1"/>
    <x v="0"/>
    <s v="24+ hrs"/>
    <s v="1-2 hrs"/>
    <n v="40.60000000015134"/>
    <s v="Dissatisfied"/>
  </r>
  <r>
    <x v="336"/>
    <d v="2025-01-08T00:00:00"/>
    <d v="2025-01-08T09:36:36"/>
    <x v="1"/>
    <x v="0"/>
    <x v="4"/>
    <x v="1"/>
    <x v="1"/>
    <n v="9.61"/>
    <n v="4.91"/>
    <n v="1"/>
    <x v="1"/>
    <s v="8-24 hrs"/>
    <s v="4+ hrs"/>
    <n v="9.6099999997531995"/>
    <s v="Dissatisfied"/>
  </r>
  <r>
    <x v="337"/>
    <d v="2025-03-20T00:00:00"/>
    <d v="2025-03-20T12:16:12"/>
    <x v="3"/>
    <x v="2"/>
    <x v="2"/>
    <x v="1"/>
    <x v="2"/>
    <n v="12.27"/>
    <n v="1.61"/>
    <n v="3"/>
    <x v="0"/>
    <s v="8-24 hrs"/>
    <s v="1-2 hrs"/>
    <n v="12.270000000076834"/>
    <s v="Neutral"/>
  </r>
  <r>
    <x v="338"/>
    <d v="2025-01-15T00:00:00"/>
    <d v="2025-01-15T23:39:00"/>
    <x v="1"/>
    <x v="2"/>
    <x v="4"/>
    <x v="2"/>
    <x v="2"/>
    <n v="23.65"/>
    <n v="1.7"/>
    <n v="4"/>
    <x v="0"/>
    <s v="8-24 hrs"/>
    <s v="1-2 hrs"/>
    <n v="23.650000000081491"/>
    <s v="Satisfied"/>
  </r>
  <r>
    <x v="339"/>
    <d v="2025-03-05T00:00:00"/>
    <d v="2025-03-05T14:42:36"/>
    <x v="3"/>
    <x v="0"/>
    <x v="3"/>
    <x v="1"/>
    <x v="1"/>
    <n v="14.71"/>
    <n v="7.92"/>
    <n v="2"/>
    <x v="1"/>
    <s v="8-24 hrs"/>
    <s v="4+ hrs"/>
    <n v="14.71000000013737"/>
    <s v="Dissatisfied"/>
  </r>
  <r>
    <x v="340"/>
    <d v="2025-03-19T00:00:00"/>
    <d v="2025-03-19T19:20:24"/>
    <x v="2"/>
    <x v="2"/>
    <x v="1"/>
    <x v="2"/>
    <x v="0"/>
    <n v="19.34"/>
    <n v="3.59"/>
    <n v="1"/>
    <x v="0"/>
    <s v="8-24 hrs"/>
    <s v="2-4 hrs"/>
    <n v="19.339999999967404"/>
    <s v="Dissatisfied"/>
  </r>
  <r>
    <x v="341"/>
    <d v="2025-03-28T00:00:00"/>
    <d v="2025-03-28T14:04:12"/>
    <x v="3"/>
    <x v="0"/>
    <x v="3"/>
    <x v="2"/>
    <x v="0"/>
    <n v="14.07"/>
    <n v="0.53"/>
    <n v="4"/>
    <x v="0"/>
    <s v="8-24 hrs"/>
    <s v="0-1 hr"/>
    <n v="14.070000000006985"/>
    <s v="Satisfied"/>
  </r>
  <r>
    <x v="342"/>
    <d v="2025-02-01T00:00:00"/>
    <d v="2025-02-01T19:32:24"/>
    <x v="3"/>
    <x v="3"/>
    <x v="2"/>
    <x v="1"/>
    <x v="1"/>
    <n v="19.54"/>
    <n v="4.0199999999999996"/>
    <n v="1"/>
    <x v="1"/>
    <s v="8-24 hrs"/>
    <s v="4+ hrs"/>
    <n v="19.539999999920838"/>
    <s v="Dissatisfied"/>
  </r>
  <r>
    <x v="343"/>
    <d v="2025-03-06T00:00:00"/>
    <d v="2025-03-07T23:06:36"/>
    <x v="2"/>
    <x v="1"/>
    <x v="2"/>
    <x v="1"/>
    <x v="1"/>
    <n v="47.11"/>
    <n v="0.84"/>
    <n v="3"/>
    <x v="0"/>
    <s v="24+ hrs"/>
    <s v="0-1 hr"/>
    <n v="47.1099999997532"/>
    <s v="Neutral"/>
  </r>
  <r>
    <x v="344"/>
    <d v="2025-03-01T00:00:00"/>
    <d v="2025-03-02T01:57:36"/>
    <x v="2"/>
    <x v="1"/>
    <x v="2"/>
    <x v="2"/>
    <x v="1"/>
    <n v="25.96"/>
    <n v="7.06"/>
    <n v="4"/>
    <x v="0"/>
    <s v="24+ hrs"/>
    <s v="4+ hrs"/>
    <n v="25.96000000013737"/>
    <s v="Satisfied"/>
  </r>
  <r>
    <x v="345"/>
    <d v="2025-01-02T00:00:00"/>
    <d v="2025-01-03T20:57:00"/>
    <x v="1"/>
    <x v="0"/>
    <x v="0"/>
    <x v="2"/>
    <x v="2"/>
    <n v="44.95"/>
    <n v="0.62"/>
    <n v="1"/>
    <x v="0"/>
    <s v="24+ hrs"/>
    <s v="0-1 hr"/>
    <n v="44.950000000011642"/>
    <s v="Dissatisfied"/>
  </r>
  <r>
    <x v="346"/>
    <d v="2025-03-20T00:00:00"/>
    <d v="2025-03-20T23:30:36"/>
    <x v="3"/>
    <x v="2"/>
    <x v="2"/>
    <x v="0"/>
    <x v="0"/>
    <n v="23.51"/>
    <n v="6.75"/>
    <n v="1"/>
    <x v="0"/>
    <s v="8-24 hrs"/>
    <s v="4+ hrs"/>
    <n v="23.50999999983469"/>
    <s v="Dissatisfied"/>
  </r>
  <r>
    <x v="347"/>
    <d v="2025-03-27T00:00:00"/>
    <d v="2025-03-28T20:01:12"/>
    <x v="2"/>
    <x v="0"/>
    <x v="0"/>
    <x v="1"/>
    <x v="2"/>
    <n v="44.02"/>
    <n v="4.33"/>
    <n v="5"/>
    <x v="0"/>
    <s v="24+ hrs"/>
    <s v="4+ hrs"/>
    <n v="44.020000000018626"/>
    <s v="Satisfied"/>
  </r>
  <r>
    <x v="348"/>
    <d v="2025-02-03T00:00:00"/>
    <d v="2025-02-03T20:35:24"/>
    <x v="0"/>
    <x v="2"/>
    <x v="3"/>
    <x v="2"/>
    <x v="2"/>
    <n v="20.59"/>
    <n v="0.98"/>
    <n v="2"/>
    <x v="0"/>
    <s v="8-24 hrs"/>
    <s v="0-1 hr"/>
    <n v="20.590000000025611"/>
    <s v="Dissatisfied"/>
  </r>
  <r>
    <x v="349"/>
    <d v="2025-01-20T00:00:00"/>
    <d v="2025-01-20T12:37:48"/>
    <x v="2"/>
    <x v="0"/>
    <x v="2"/>
    <x v="0"/>
    <x v="1"/>
    <n v="12.63"/>
    <n v="1.75"/>
    <n v="3"/>
    <x v="1"/>
    <s v="8-24 hrs"/>
    <s v="1-2 hrs"/>
    <n v="12.630000000062864"/>
    <s v="Neutral"/>
  </r>
  <r>
    <x v="350"/>
    <d v="2025-03-05T00:00:00"/>
    <d v="2025-03-05T20:23:24"/>
    <x v="2"/>
    <x v="0"/>
    <x v="2"/>
    <x v="2"/>
    <x v="1"/>
    <n v="20.39"/>
    <n v="5.48"/>
    <n v="3"/>
    <x v="1"/>
    <s v="8-24 hrs"/>
    <s v="4+ hrs"/>
    <n v="20.3900000002468"/>
    <s v="Neutral"/>
  </r>
  <r>
    <x v="351"/>
    <d v="2025-03-14T00:00:00"/>
    <d v="2025-03-15T08:01:12"/>
    <x v="0"/>
    <x v="3"/>
    <x v="2"/>
    <x v="2"/>
    <x v="2"/>
    <n v="32.020000000000003"/>
    <n v="6.26"/>
    <n v="5"/>
    <x v="0"/>
    <s v="24+ hrs"/>
    <s v="4+ hrs"/>
    <n v="32.020000000018626"/>
    <s v="Satisfied"/>
  </r>
  <r>
    <x v="352"/>
    <d v="2025-02-09T00:00:00"/>
    <d v="2025-02-10T18:48:36"/>
    <x v="0"/>
    <x v="1"/>
    <x v="2"/>
    <x v="1"/>
    <x v="0"/>
    <n v="42.81"/>
    <n v="1.48"/>
    <n v="3"/>
    <x v="0"/>
    <s v="24+ hrs"/>
    <s v="1-2 hrs"/>
    <n v="42.810000000055879"/>
    <s v="Neutral"/>
  </r>
  <r>
    <x v="353"/>
    <d v="2025-02-23T00:00:00"/>
    <d v="2025-02-23T01:39:36"/>
    <x v="1"/>
    <x v="1"/>
    <x v="4"/>
    <x v="2"/>
    <x v="0"/>
    <n v="1.66"/>
    <n v="2.17"/>
    <n v="3"/>
    <x v="1"/>
    <s v="0-4 hrs"/>
    <s v="2-4 hrs"/>
    <n v="1.6600000000325963"/>
    <s v="Neutral"/>
  </r>
  <r>
    <x v="354"/>
    <d v="2025-01-30T00:00:00"/>
    <d v="2025-01-31T09:23:24"/>
    <x v="3"/>
    <x v="1"/>
    <x v="4"/>
    <x v="1"/>
    <x v="0"/>
    <n v="33.39"/>
    <n v="6.2"/>
    <n v="1"/>
    <x v="0"/>
    <s v="24+ hrs"/>
    <s v="4+ hrs"/>
    <n v="33.39000000001397"/>
    <s v="Dissatisfied"/>
  </r>
  <r>
    <x v="355"/>
    <d v="2025-02-25T00:00:00"/>
    <d v="2025-02-26T19:06:00"/>
    <x v="2"/>
    <x v="0"/>
    <x v="3"/>
    <x v="1"/>
    <x v="1"/>
    <n v="43.1"/>
    <n v="2.84"/>
    <n v="5"/>
    <x v="0"/>
    <s v="24+ hrs"/>
    <s v="2-4 hrs"/>
    <n v="43.099999999918509"/>
    <s v="Satisfied"/>
  </r>
  <r>
    <x v="356"/>
    <d v="2025-03-28T00:00:00"/>
    <d v="2025-03-29T03:49:12"/>
    <x v="0"/>
    <x v="2"/>
    <x v="2"/>
    <x v="0"/>
    <x v="0"/>
    <n v="27.82"/>
    <n v="1.79"/>
    <n v="4"/>
    <x v="0"/>
    <s v="24+ hrs"/>
    <s v="1-2 hrs"/>
    <n v="27.819999999774154"/>
    <s v="Satisfied"/>
  </r>
  <r>
    <x v="357"/>
    <d v="2025-03-06T00:00:00"/>
    <d v="2025-03-07T12:00:00"/>
    <x v="3"/>
    <x v="3"/>
    <x v="1"/>
    <x v="1"/>
    <x v="0"/>
    <n v="36"/>
    <n v="3.47"/>
    <n v="5"/>
    <x v="0"/>
    <s v="24+ hrs"/>
    <s v="2-4 hrs"/>
    <n v="36"/>
    <s v="Satisfied"/>
  </r>
  <r>
    <x v="358"/>
    <d v="2025-03-08T00:00:00"/>
    <d v="2025-03-08T15:22:12"/>
    <x v="1"/>
    <x v="0"/>
    <x v="0"/>
    <x v="2"/>
    <x v="2"/>
    <n v="15.37"/>
    <n v="2.69"/>
    <n v="5"/>
    <x v="0"/>
    <s v="8-24 hrs"/>
    <s v="2-4 hrs"/>
    <n v="15.370000000053551"/>
    <s v="Satisfied"/>
  </r>
  <r>
    <x v="359"/>
    <d v="2025-03-12T00:00:00"/>
    <d v="2025-03-12T16:33:00"/>
    <x v="1"/>
    <x v="3"/>
    <x v="0"/>
    <x v="1"/>
    <x v="0"/>
    <n v="16.55"/>
    <n v="1.34"/>
    <n v="4"/>
    <x v="0"/>
    <s v="8-24 hrs"/>
    <s v="1-2 hrs"/>
    <n v="16.549999999988358"/>
    <s v="Satisfied"/>
  </r>
  <r>
    <x v="360"/>
    <d v="2025-03-04T00:00:00"/>
    <d v="2025-03-05T01:30:00"/>
    <x v="2"/>
    <x v="3"/>
    <x v="3"/>
    <x v="2"/>
    <x v="1"/>
    <n v="25.5"/>
    <n v="1.75"/>
    <n v="1"/>
    <x v="0"/>
    <s v="24+ hrs"/>
    <s v="1-2 hrs"/>
    <n v="25.5"/>
    <s v="Dissatisfied"/>
  </r>
  <r>
    <x v="361"/>
    <d v="2025-01-18T00:00:00"/>
    <d v="2025-01-19T12:59:24"/>
    <x v="1"/>
    <x v="1"/>
    <x v="1"/>
    <x v="0"/>
    <x v="1"/>
    <n v="36.99"/>
    <n v="6.01"/>
    <n v="1"/>
    <x v="0"/>
    <s v="24+ hrs"/>
    <s v="4+ hrs"/>
    <n v="36.990000000048894"/>
    <s v="Dissatisfied"/>
  </r>
  <r>
    <x v="362"/>
    <d v="2025-03-19T00:00:00"/>
    <d v="2025-03-20T11:15:00"/>
    <x v="3"/>
    <x v="0"/>
    <x v="4"/>
    <x v="2"/>
    <x v="0"/>
    <n v="35.25"/>
    <n v="6.85"/>
    <n v="5"/>
    <x v="0"/>
    <s v="24+ hrs"/>
    <s v="4+ hrs"/>
    <n v="35.25"/>
    <s v="Satisfied"/>
  </r>
  <r>
    <x v="363"/>
    <d v="2025-01-17T00:00:00"/>
    <d v="2025-01-18T08:55:12"/>
    <x v="0"/>
    <x v="0"/>
    <x v="1"/>
    <x v="1"/>
    <x v="0"/>
    <n v="32.92"/>
    <n v="5.22"/>
    <n v="2"/>
    <x v="0"/>
    <s v="24+ hrs"/>
    <s v="4+ hrs"/>
    <n v="32.920000000158325"/>
    <s v="Dissatisfied"/>
  </r>
  <r>
    <x v="364"/>
    <d v="2025-03-18T00:00:00"/>
    <d v="2025-03-19T05:29:24"/>
    <x v="0"/>
    <x v="2"/>
    <x v="0"/>
    <x v="1"/>
    <x v="1"/>
    <n v="29.49"/>
    <n v="4.9000000000000004"/>
    <n v="1"/>
    <x v="0"/>
    <s v="24+ hrs"/>
    <s v="4+ hrs"/>
    <n v="29.490000000048894"/>
    <s v="Dissatisfied"/>
  </r>
  <r>
    <x v="365"/>
    <d v="2025-01-22T00:00:00"/>
    <d v="2025-01-23T13:01:12"/>
    <x v="1"/>
    <x v="0"/>
    <x v="1"/>
    <x v="1"/>
    <x v="0"/>
    <n v="37.020000000000003"/>
    <n v="6.44"/>
    <n v="4"/>
    <x v="0"/>
    <s v="24+ hrs"/>
    <s v="4+ hrs"/>
    <n v="37.020000000076834"/>
    <s v="Satisfied"/>
  </r>
  <r>
    <x v="366"/>
    <d v="2025-03-31T00:00:00"/>
    <d v="2025-04-01T22:22:12"/>
    <x v="1"/>
    <x v="1"/>
    <x v="1"/>
    <x v="2"/>
    <x v="0"/>
    <n v="46.37"/>
    <n v="7.3"/>
    <n v="5"/>
    <x v="0"/>
    <s v="24+ hrs"/>
    <s v="4+ hrs"/>
    <n v="46.369999999995343"/>
    <s v="Satisfied"/>
  </r>
  <r>
    <x v="367"/>
    <d v="2025-02-11T00:00:00"/>
    <d v="2025-02-11T21:39:36"/>
    <x v="0"/>
    <x v="1"/>
    <x v="0"/>
    <x v="0"/>
    <x v="0"/>
    <n v="21.66"/>
    <n v="3.79"/>
    <n v="5"/>
    <x v="0"/>
    <s v="8-24 hrs"/>
    <s v="2-4 hrs"/>
    <n v="21.659999999916181"/>
    <s v="Satisfied"/>
  </r>
  <r>
    <x v="368"/>
    <d v="2025-01-29T00:00:00"/>
    <d v="2025-01-30T19:27:36"/>
    <x v="2"/>
    <x v="0"/>
    <x v="0"/>
    <x v="2"/>
    <x v="0"/>
    <n v="43.46"/>
    <n v="5.21"/>
    <n v="1"/>
    <x v="0"/>
    <s v="24+ hrs"/>
    <s v="4+ hrs"/>
    <n v="43.460000000079162"/>
    <s v="Dissatisfied"/>
  </r>
  <r>
    <x v="369"/>
    <d v="2025-02-22T00:00:00"/>
    <d v="2025-02-23T04:15:36"/>
    <x v="3"/>
    <x v="3"/>
    <x v="4"/>
    <x v="0"/>
    <x v="0"/>
    <n v="28.26"/>
    <n v="3.48"/>
    <n v="3"/>
    <x v="0"/>
    <s v="24+ hrs"/>
    <s v="2-4 hrs"/>
    <n v="28.259999999951106"/>
    <s v="Neutral"/>
  </r>
  <r>
    <x v="370"/>
    <d v="2025-03-17T00:00:00"/>
    <d v="2025-03-18T08:12:36"/>
    <x v="0"/>
    <x v="1"/>
    <x v="0"/>
    <x v="1"/>
    <x v="2"/>
    <n v="32.21"/>
    <n v="5.37"/>
    <n v="3"/>
    <x v="0"/>
    <s v="24+ hrs"/>
    <s v="4+ hrs"/>
    <n v="32.210000000079162"/>
    <s v="Neutral"/>
  </r>
  <r>
    <x v="371"/>
    <d v="2025-01-29T00:00:00"/>
    <d v="2025-01-29T11:58:48"/>
    <x v="2"/>
    <x v="0"/>
    <x v="3"/>
    <x v="2"/>
    <x v="2"/>
    <n v="11.98"/>
    <n v="2.87"/>
    <n v="5"/>
    <x v="0"/>
    <s v="8-24 hrs"/>
    <s v="2-4 hrs"/>
    <n v="11.980000000039581"/>
    <s v="Satisfied"/>
  </r>
  <r>
    <x v="372"/>
    <d v="2025-03-06T00:00:00"/>
    <d v="2025-03-06T12:01:48"/>
    <x v="3"/>
    <x v="2"/>
    <x v="1"/>
    <x v="1"/>
    <x v="2"/>
    <n v="12.03"/>
    <n v="1.43"/>
    <n v="3"/>
    <x v="0"/>
    <s v="8-24 hrs"/>
    <s v="1-2 hrs"/>
    <n v="12.03000000002794"/>
    <s v="Neutral"/>
  </r>
  <r>
    <x v="373"/>
    <d v="2025-01-10T00:00:00"/>
    <d v="2025-01-10T07:30:00"/>
    <x v="2"/>
    <x v="3"/>
    <x v="1"/>
    <x v="2"/>
    <x v="0"/>
    <n v="7.5"/>
    <n v="7.97"/>
    <n v="5"/>
    <x v="0"/>
    <s v="4-8 hrs"/>
    <s v="4+ hrs"/>
    <n v="7.5"/>
    <s v="Satisfied"/>
  </r>
  <r>
    <x v="374"/>
    <d v="2025-02-10T00:00:00"/>
    <d v="2025-02-10T07:01:12"/>
    <x v="3"/>
    <x v="3"/>
    <x v="0"/>
    <x v="2"/>
    <x v="2"/>
    <n v="7.02"/>
    <n v="5.04"/>
    <n v="3"/>
    <x v="1"/>
    <s v="4-8 hrs"/>
    <s v="4+ hrs"/>
    <n v="7.0200000000768341"/>
    <s v="Neutral"/>
  </r>
  <r>
    <x v="375"/>
    <d v="2025-01-16T00:00:00"/>
    <d v="2025-01-16T16:40:12"/>
    <x v="2"/>
    <x v="0"/>
    <x v="2"/>
    <x v="2"/>
    <x v="1"/>
    <n v="16.670000000000002"/>
    <n v="2.19"/>
    <n v="1"/>
    <x v="1"/>
    <s v="8-24 hrs"/>
    <s v="2-4 hrs"/>
    <n v="16.669999999925494"/>
    <s v="Dissatisfied"/>
  </r>
  <r>
    <x v="376"/>
    <d v="2025-02-19T00:00:00"/>
    <d v="2025-02-20T02:09:00"/>
    <x v="2"/>
    <x v="0"/>
    <x v="2"/>
    <x v="2"/>
    <x v="0"/>
    <n v="26.15"/>
    <n v="4.28"/>
    <n v="5"/>
    <x v="0"/>
    <s v="24+ hrs"/>
    <s v="4+ hrs"/>
    <n v="26.14999999984866"/>
    <s v="Satisfied"/>
  </r>
  <r>
    <x v="377"/>
    <d v="2025-01-16T00:00:00"/>
    <d v="2025-01-17T23:53:24"/>
    <x v="3"/>
    <x v="0"/>
    <x v="3"/>
    <x v="0"/>
    <x v="1"/>
    <n v="47.89"/>
    <n v="2.91"/>
    <n v="1"/>
    <x v="0"/>
    <s v="24+ hrs"/>
    <s v="2-4 hrs"/>
    <n v="47.889999999781139"/>
    <s v="Dissatisfied"/>
  </r>
  <r>
    <x v="378"/>
    <d v="2025-03-25T00:00:00"/>
    <d v="2025-03-25T03:21:00"/>
    <x v="1"/>
    <x v="2"/>
    <x v="1"/>
    <x v="0"/>
    <x v="2"/>
    <n v="3.35"/>
    <n v="7.01"/>
    <n v="3"/>
    <x v="1"/>
    <s v="0-4 hrs"/>
    <s v="4+ hrs"/>
    <n v="3.3499999999185093"/>
    <s v="Neutral"/>
  </r>
  <r>
    <x v="379"/>
    <d v="2025-02-25T00:00:00"/>
    <d v="2025-02-26T09:12:36"/>
    <x v="3"/>
    <x v="3"/>
    <x v="4"/>
    <x v="1"/>
    <x v="0"/>
    <n v="33.21"/>
    <n v="7.67"/>
    <n v="4"/>
    <x v="0"/>
    <s v="24+ hrs"/>
    <s v="4+ hrs"/>
    <n v="33.210000000020955"/>
    <s v="Satisfied"/>
  </r>
  <r>
    <x v="380"/>
    <d v="2025-02-13T00:00:00"/>
    <d v="2025-02-13T02:51:36"/>
    <x v="2"/>
    <x v="2"/>
    <x v="0"/>
    <x v="1"/>
    <x v="1"/>
    <n v="2.86"/>
    <n v="1.97"/>
    <n v="2"/>
    <x v="1"/>
    <s v="0-4 hrs"/>
    <s v="1-2 hrs"/>
    <n v="2.8599999997531995"/>
    <s v="Dissatisfied"/>
  </r>
  <r>
    <x v="381"/>
    <d v="2025-03-03T00:00:00"/>
    <d v="2025-03-04T03:53:24"/>
    <x v="3"/>
    <x v="2"/>
    <x v="4"/>
    <x v="1"/>
    <x v="0"/>
    <n v="27.89"/>
    <n v="7.97"/>
    <n v="3"/>
    <x v="0"/>
    <s v="24+ hrs"/>
    <s v="4+ hrs"/>
    <n v="27.8900000002468"/>
    <s v="Neutral"/>
  </r>
  <r>
    <x v="382"/>
    <d v="2025-01-29T00:00:00"/>
    <d v="2025-01-30T19:24:36"/>
    <x v="2"/>
    <x v="1"/>
    <x v="4"/>
    <x v="2"/>
    <x v="1"/>
    <n v="43.41"/>
    <n v="3.77"/>
    <n v="2"/>
    <x v="0"/>
    <s v="24+ hrs"/>
    <s v="2-4 hrs"/>
    <n v="43.409999999916181"/>
    <s v="Dissatisfied"/>
  </r>
  <r>
    <x v="383"/>
    <d v="2025-01-30T00:00:00"/>
    <d v="2025-01-30T21:41:24"/>
    <x v="3"/>
    <x v="1"/>
    <x v="4"/>
    <x v="0"/>
    <x v="2"/>
    <n v="21.69"/>
    <n v="2.4500000000000002"/>
    <n v="2"/>
    <x v="0"/>
    <s v="8-24 hrs"/>
    <s v="2-4 hrs"/>
    <n v="21.689999999944121"/>
    <s v="Dissatisfied"/>
  </r>
  <r>
    <x v="384"/>
    <d v="2025-03-10T00:00:00"/>
    <d v="2025-03-10T17:42:00"/>
    <x v="0"/>
    <x v="2"/>
    <x v="3"/>
    <x v="1"/>
    <x v="2"/>
    <n v="17.7"/>
    <n v="6.6"/>
    <n v="2"/>
    <x v="0"/>
    <s v="8-24 hrs"/>
    <s v="4+ hrs"/>
    <n v="17.700000000069849"/>
    <s v="Dissatisfied"/>
  </r>
  <r>
    <x v="385"/>
    <d v="2025-01-23T00:00:00"/>
    <d v="2025-01-24T08:13:12"/>
    <x v="2"/>
    <x v="1"/>
    <x v="4"/>
    <x v="0"/>
    <x v="0"/>
    <n v="32.22"/>
    <n v="5.22"/>
    <n v="5"/>
    <x v="0"/>
    <s v="24+ hrs"/>
    <s v="4+ hrs"/>
    <n v="32.21999999997206"/>
    <s v="Satisfied"/>
  </r>
  <r>
    <x v="386"/>
    <d v="2025-03-06T00:00:00"/>
    <d v="2025-03-07T16:52:12"/>
    <x v="3"/>
    <x v="2"/>
    <x v="1"/>
    <x v="1"/>
    <x v="0"/>
    <n v="40.869999999999997"/>
    <n v="3.54"/>
    <n v="4"/>
    <x v="0"/>
    <s v="24+ hrs"/>
    <s v="2-4 hrs"/>
    <n v="40.870000000053551"/>
    <s v="Satisfied"/>
  </r>
  <r>
    <x v="387"/>
    <d v="2025-02-27T00:00:00"/>
    <d v="2025-02-27T17:28:48"/>
    <x v="1"/>
    <x v="0"/>
    <x v="0"/>
    <x v="0"/>
    <x v="0"/>
    <n v="17.48"/>
    <n v="7.39"/>
    <n v="3"/>
    <x v="0"/>
    <s v="8-24 hrs"/>
    <s v="4+ hrs"/>
    <n v="17.479999999981374"/>
    <s v="Neutral"/>
  </r>
  <r>
    <x v="388"/>
    <d v="2025-03-08T00:00:00"/>
    <d v="2025-03-08T06:34:48"/>
    <x v="3"/>
    <x v="3"/>
    <x v="1"/>
    <x v="0"/>
    <x v="0"/>
    <n v="6.58"/>
    <n v="4.84"/>
    <n v="1"/>
    <x v="0"/>
    <s v="4-8 hrs"/>
    <s v="4+ hrs"/>
    <n v="6.5800000000745058"/>
    <s v="Dissatisfied"/>
  </r>
  <r>
    <x v="389"/>
    <d v="2025-03-10T00:00:00"/>
    <d v="2025-03-11T07:01:48"/>
    <x v="2"/>
    <x v="1"/>
    <x v="4"/>
    <x v="0"/>
    <x v="1"/>
    <n v="31.03"/>
    <n v="4.6399999999999997"/>
    <n v="4"/>
    <x v="0"/>
    <s v="24+ hrs"/>
    <s v="4+ hrs"/>
    <n v="31.030000000144355"/>
    <s v="Satisfied"/>
  </r>
  <r>
    <x v="390"/>
    <d v="2025-01-06T00:00:00"/>
    <d v="2025-01-06T13:38:24"/>
    <x v="0"/>
    <x v="1"/>
    <x v="4"/>
    <x v="1"/>
    <x v="0"/>
    <n v="13.64"/>
    <n v="2.86"/>
    <n v="4"/>
    <x v="0"/>
    <s v="8-24 hrs"/>
    <s v="2-4 hrs"/>
    <n v="13.6400000002468"/>
    <s v="Satisfied"/>
  </r>
  <r>
    <x v="391"/>
    <d v="2025-02-28T00:00:00"/>
    <d v="2025-02-28T11:58:48"/>
    <x v="2"/>
    <x v="3"/>
    <x v="3"/>
    <x v="0"/>
    <x v="0"/>
    <n v="11.98"/>
    <n v="3.69"/>
    <n v="5"/>
    <x v="0"/>
    <s v="8-24 hrs"/>
    <s v="2-4 hrs"/>
    <n v="11.980000000039581"/>
    <s v="Satisfied"/>
  </r>
  <r>
    <x v="392"/>
    <d v="2025-01-21T00:00:00"/>
    <d v="2025-01-21T18:44:24"/>
    <x v="0"/>
    <x v="1"/>
    <x v="0"/>
    <x v="1"/>
    <x v="0"/>
    <n v="18.739999999999998"/>
    <n v="2.85"/>
    <n v="4"/>
    <x v="0"/>
    <s v="8-24 hrs"/>
    <s v="2-4 hrs"/>
    <n v="18.739999999932479"/>
    <s v="Satisfied"/>
  </r>
  <r>
    <x v="393"/>
    <d v="2025-03-12T00:00:00"/>
    <d v="2025-03-12T12:49:48"/>
    <x v="0"/>
    <x v="2"/>
    <x v="4"/>
    <x v="2"/>
    <x v="0"/>
    <n v="12.83"/>
    <n v="3.46"/>
    <n v="5"/>
    <x v="0"/>
    <s v="8-24 hrs"/>
    <s v="2-4 hrs"/>
    <n v="12.829999999841675"/>
    <s v="Satisfied"/>
  </r>
  <r>
    <x v="394"/>
    <d v="2025-03-02T00:00:00"/>
    <d v="2025-03-02T17:35:24"/>
    <x v="0"/>
    <x v="3"/>
    <x v="0"/>
    <x v="0"/>
    <x v="1"/>
    <n v="17.59"/>
    <n v="2.88"/>
    <n v="4"/>
    <x v="1"/>
    <s v="8-24 hrs"/>
    <s v="2-4 hrs"/>
    <n v="17.590000000025611"/>
    <s v="Satisfied"/>
  </r>
  <r>
    <x v="395"/>
    <d v="2025-03-18T00:00:00"/>
    <d v="2025-03-19T14:55:12"/>
    <x v="0"/>
    <x v="2"/>
    <x v="0"/>
    <x v="1"/>
    <x v="2"/>
    <n v="38.92"/>
    <n v="6.94"/>
    <n v="1"/>
    <x v="0"/>
    <s v="24+ hrs"/>
    <s v="4+ hrs"/>
    <n v="38.920000000158325"/>
    <s v="Dissatisfied"/>
  </r>
  <r>
    <x v="396"/>
    <d v="2025-01-16T00:00:00"/>
    <d v="2025-01-17T08:15:00"/>
    <x v="1"/>
    <x v="0"/>
    <x v="0"/>
    <x v="0"/>
    <x v="2"/>
    <n v="32.25"/>
    <n v="3.45"/>
    <n v="2"/>
    <x v="0"/>
    <s v="24+ hrs"/>
    <s v="2-4 hrs"/>
    <n v="32.25"/>
    <s v="Dissatisfied"/>
  </r>
  <r>
    <x v="397"/>
    <d v="2025-01-03T00:00:00"/>
    <d v="2025-01-03T01:42:36"/>
    <x v="1"/>
    <x v="3"/>
    <x v="4"/>
    <x v="1"/>
    <x v="1"/>
    <n v="1.71"/>
    <n v="4.9000000000000004"/>
    <n v="3"/>
    <x v="1"/>
    <s v="0-4 hrs"/>
    <s v="4+ hrs"/>
    <n v="1.7100000000209548"/>
    <s v="Neutral"/>
  </r>
  <r>
    <x v="398"/>
    <d v="2025-03-12T00:00:00"/>
    <d v="2025-03-13T15:21:36"/>
    <x v="3"/>
    <x v="2"/>
    <x v="2"/>
    <x v="0"/>
    <x v="0"/>
    <n v="39.36"/>
    <n v="6.57"/>
    <n v="4"/>
    <x v="0"/>
    <s v="24+ hrs"/>
    <s v="4+ hrs"/>
    <n v="39.35999999998603"/>
    <s v="Satisfied"/>
  </r>
  <r>
    <x v="399"/>
    <d v="2025-03-09T00:00:00"/>
    <d v="2025-03-10T14:41:24"/>
    <x v="2"/>
    <x v="0"/>
    <x v="3"/>
    <x v="0"/>
    <x v="0"/>
    <n v="38.69"/>
    <n v="1.1499999999999999"/>
    <n v="5"/>
    <x v="0"/>
    <s v="24+ hrs"/>
    <s v="1-2 hrs"/>
    <n v="38.690000000002328"/>
    <s v="Satisfied"/>
  </r>
  <r>
    <x v="400"/>
    <d v="2025-03-18T00:00:00"/>
    <d v="2025-03-19T11:45:00"/>
    <x v="1"/>
    <x v="1"/>
    <x v="2"/>
    <x v="2"/>
    <x v="0"/>
    <n v="35.75"/>
    <n v="3.76"/>
    <n v="1"/>
    <x v="0"/>
    <s v="24+ hrs"/>
    <s v="2-4 hrs"/>
    <n v="35.750000000232831"/>
    <s v="Dissatisfied"/>
  </r>
  <r>
    <x v="401"/>
    <d v="2025-02-11T00:00:00"/>
    <d v="2025-02-11T18:13:12"/>
    <x v="3"/>
    <x v="1"/>
    <x v="4"/>
    <x v="1"/>
    <x v="1"/>
    <n v="18.22"/>
    <n v="7.58"/>
    <n v="4"/>
    <x v="1"/>
    <s v="8-24 hrs"/>
    <s v="4+ hrs"/>
    <n v="18.219999999913853"/>
    <s v="Satisfied"/>
  </r>
  <r>
    <x v="402"/>
    <d v="2025-01-15T00:00:00"/>
    <d v="2025-01-16T17:52:12"/>
    <x v="0"/>
    <x v="1"/>
    <x v="4"/>
    <x v="1"/>
    <x v="1"/>
    <n v="41.87"/>
    <n v="5.56"/>
    <n v="1"/>
    <x v="0"/>
    <s v="24+ hrs"/>
    <s v="4+ hrs"/>
    <n v="41.869999999995343"/>
    <s v="Dissatisfied"/>
  </r>
  <r>
    <x v="403"/>
    <d v="2025-02-24T00:00:00"/>
    <d v="2025-02-24T20:58:48"/>
    <x v="2"/>
    <x v="1"/>
    <x v="4"/>
    <x v="2"/>
    <x v="2"/>
    <n v="20.98"/>
    <n v="5.04"/>
    <n v="3"/>
    <x v="0"/>
    <s v="8-24 hrs"/>
    <s v="4+ hrs"/>
    <n v="20.980000000039581"/>
    <s v="Neutral"/>
  </r>
  <r>
    <x v="404"/>
    <d v="2025-03-08T00:00:00"/>
    <d v="2025-03-09T09:00:00"/>
    <x v="1"/>
    <x v="1"/>
    <x v="0"/>
    <x v="0"/>
    <x v="2"/>
    <n v="33"/>
    <n v="4.8899999999999997"/>
    <n v="1"/>
    <x v="0"/>
    <s v="24+ hrs"/>
    <s v="4+ hrs"/>
    <n v="33"/>
    <s v="Dissatisfied"/>
  </r>
  <r>
    <x v="405"/>
    <d v="2025-02-19T00:00:00"/>
    <d v="2025-02-20T13:28:12"/>
    <x v="2"/>
    <x v="3"/>
    <x v="3"/>
    <x v="0"/>
    <x v="1"/>
    <n v="37.47"/>
    <n v="4.21"/>
    <n v="5"/>
    <x v="0"/>
    <s v="24+ hrs"/>
    <s v="4+ hrs"/>
    <n v="37.46999999997206"/>
    <s v="Satisfied"/>
  </r>
  <r>
    <x v="406"/>
    <d v="2025-01-01T00:00:00"/>
    <d v="2025-01-02T04:42:36"/>
    <x v="0"/>
    <x v="2"/>
    <x v="3"/>
    <x v="2"/>
    <x v="0"/>
    <n v="28.71"/>
    <n v="2.86"/>
    <n v="5"/>
    <x v="0"/>
    <s v="24+ hrs"/>
    <s v="2-4 hrs"/>
    <n v="28.710000000020955"/>
    <s v="Satisfied"/>
  </r>
  <r>
    <x v="407"/>
    <d v="2025-01-22T00:00:00"/>
    <d v="2025-01-22T02:19:12"/>
    <x v="0"/>
    <x v="1"/>
    <x v="1"/>
    <x v="2"/>
    <x v="1"/>
    <n v="2.3199999999999998"/>
    <n v="6.17"/>
    <n v="1"/>
    <x v="1"/>
    <s v="0-4 hrs"/>
    <s v="4+ hrs"/>
    <n v="2.3199999997741543"/>
    <s v="Dissatisfied"/>
  </r>
  <r>
    <x v="408"/>
    <d v="2025-01-17T00:00:00"/>
    <d v="2025-01-18T13:23:24"/>
    <x v="2"/>
    <x v="2"/>
    <x v="0"/>
    <x v="2"/>
    <x v="0"/>
    <n v="37.39"/>
    <n v="6.02"/>
    <n v="2"/>
    <x v="0"/>
    <s v="24+ hrs"/>
    <s v="4+ hrs"/>
    <n v="37.389999999781139"/>
    <s v="Dissatisfied"/>
  </r>
  <r>
    <x v="409"/>
    <d v="2025-01-11T00:00:00"/>
    <d v="2025-01-12T13:07:48"/>
    <x v="1"/>
    <x v="3"/>
    <x v="3"/>
    <x v="1"/>
    <x v="1"/>
    <n v="37.130000000000003"/>
    <n v="6.92"/>
    <n v="5"/>
    <x v="0"/>
    <s v="24+ hrs"/>
    <s v="4+ hrs"/>
    <n v="37.129999999946449"/>
    <s v="Satisfied"/>
  </r>
  <r>
    <x v="410"/>
    <d v="2025-02-10T00:00:00"/>
    <d v="2025-02-10T22:06:36"/>
    <x v="2"/>
    <x v="1"/>
    <x v="2"/>
    <x v="1"/>
    <x v="1"/>
    <n v="22.11"/>
    <n v="6.84"/>
    <n v="4"/>
    <x v="1"/>
    <s v="8-24 hrs"/>
    <s v="4+ hrs"/>
    <n v="22.10999999998603"/>
    <s v="Satisfied"/>
  </r>
  <r>
    <x v="411"/>
    <d v="2025-01-30T00:00:00"/>
    <d v="2025-01-31T19:34:48"/>
    <x v="0"/>
    <x v="3"/>
    <x v="1"/>
    <x v="0"/>
    <x v="0"/>
    <n v="43.58"/>
    <n v="7.3"/>
    <n v="4"/>
    <x v="0"/>
    <s v="24+ hrs"/>
    <s v="4+ hrs"/>
    <n v="43.579999999841675"/>
    <s v="Satisfied"/>
  </r>
  <r>
    <x v="412"/>
    <d v="2025-03-22T00:00:00"/>
    <d v="2025-03-22T20:32:24"/>
    <x v="2"/>
    <x v="2"/>
    <x v="0"/>
    <x v="0"/>
    <x v="2"/>
    <n v="20.54"/>
    <n v="5.86"/>
    <n v="1"/>
    <x v="0"/>
    <s v="8-24 hrs"/>
    <s v="4+ hrs"/>
    <n v="20.53999999986263"/>
    <s v="Dissatisfied"/>
  </r>
  <r>
    <x v="413"/>
    <d v="2025-03-17T00:00:00"/>
    <d v="2025-03-18T18:12:36"/>
    <x v="3"/>
    <x v="0"/>
    <x v="0"/>
    <x v="1"/>
    <x v="2"/>
    <n v="42.21"/>
    <n v="2.39"/>
    <n v="5"/>
    <x v="0"/>
    <s v="24+ hrs"/>
    <s v="2-4 hrs"/>
    <n v="42.210000000020955"/>
    <s v="Satisfied"/>
  </r>
  <r>
    <x v="414"/>
    <d v="2025-01-20T00:00:00"/>
    <d v="2025-01-21T05:01:12"/>
    <x v="0"/>
    <x v="2"/>
    <x v="4"/>
    <x v="2"/>
    <x v="2"/>
    <n v="29.02"/>
    <n v="1.1299999999999999"/>
    <n v="3"/>
    <x v="0"/>
    <s v="24+ hrs"/>
    <s v="1-2 hrs"/>
    <n v="29.020000000018626"/>
    <s v="Neutral"/>
  </r>
  <r>
    <x v="415"/>
    <d v="2025-01-27T00:00:00"/>
    <d v="2025-01-27T01:57:00"/>
    <x v="3"/>
    <x v="0"/>
    <x v="2"/>
    <x v="1"/>
    <x v="1"/>
    <n v="1.95"/>
    <n v="2.0099999999999998"/>
    <n v="5"/>
    <x v="1"/>
    <s v="0-4 hrs"/>
    <s v="2-4 hrs"/>
    <n v="1.9500000000698492"/>
    <s v="Satisfied"/>
  </r>
  <r>
    <x v="416"/>
    <d v="2025-03-05T00:00:00"/>
    <d v="2025-03-05T13:25:12"/>
    <x v="0"/>
    <x v="3"/>
    <x v="4"/>
    <x v="0"/>
    <x v="2"/>
    <n v="13.42"/>
    <n v="0.82"/>
    <n v="1"/>
    <x v="0"/>
    <s v="8-24 hrs"/>
    <s v="0-1 hr"/>
    <n v="13.420000000158325"/>
    <s v="Dissatisfied"/>
  </r>
  <r>
    <x v="417"/>
    <d v="2025-01-01T00:00:00"/>
    <d v="2025-01-02T13:46:12"/>
    <x v="2"/>
    <x v="0"/>
    <x v="3"/>
    <x v="0"/>
    <x v="0"/>
    <n v="37.770000000000003"/>
    <n v="2.02"/>
    <n v="2"/>
    <x v="0"/>
    <s v="24+ hrs"/>
    <s v="2-4 hrs"/>
    <n v="37.770000000076834"/>
    <s v="Dissatisfied"/>
  </r>
  <r>
    <x v="418"/>
    <d v="2025-03-21T00:00:00"/>
    <d v="2025-03-21T07:30:36"/>
    <x v="3"/>
    <x v="1"/>
    <x v="4"/>
    <x v="2"/>
    <x v="0"/>
    <n v="7.51"/>
    <n v="2.02"/>
    <n v="2"/>
    <x v="0"/>
    <s v="4-8 hrs"/>
    <s v="2-4 hrs"/>
    <n v="7.5100000000675209"/>
    <s v="Dissatisfied"/>
  </r>
  <r>
    <x v="419"/>
    <d v="2025-02-26T00:00:00"/>
    <d v="2025-02-27T05:59:24"/>
    <x v="0"/>
    <x v="3"/>
    <x v="4"/>
    <x v="1"/>
    <x v="1"/>
    <n v="29.99"/>
    <n v="0.94"/>
    <n v="4"/>
    <x v="0"/>
    <s v="24+ hrs"/>
    <s v="0-1 hr"/>
    <n v="29.989999999932479"/>
    <s v="Satisfied"/>
  </r>
  <r>
    <x v="420"/>
    <d v="2025-03-07T00:00:00"/>
    <d v="2025-03-08T04:19:48"/>
    <x v="1"/>
    <x v="0"/>
    <x v="3"/>
    <x v="0"/>
    <x v="2"/>
    <n v="28.33"/>
    <n v="1.86"/>
    <n v="2"/>
    <x v="0"/>
    <s v="24+ hrs"/>
    <s v="1-2 hrs"/>
    <n v="28.330000000074506"/>
    <s v="Dissatisfied"/>
  </r>
  <r>
    <x v="421"/>
    <d v="2025-01-19T00:00:00"/>
    <d v="2025-01-19T15:56:24"/>
    <x v="0"/>
    <x v="2"/>
    <x v="2"/>
    <x v="1"/>
    <x v="2"/>
    <n v="15.94"/>
    <n v="3.91"/>
    <n v="1"/>
    <x v="0"/>
    <s v="8-24 hrs"/>
    <s v="2-4 hrs"/>
    <n v="15.940000000060536"/>
    <s v="Dissatisfied"/>
  </r>
  <r>
    <x v="422"/>
    <d v="2025-03-16T00:00:00"/>
    <d v="2025-03-16T17:16:48"/>
    <x v="1"/>
    <x v="1"/>
    <x v="0"/>
    <x v="2"/>
    <x v="1"/>
    <n v="17.28"/>
    <n v="2.0699999999999998"/>
    <n v="5"/>
    <x v="1"/>
    <s v="8-24 hrs"/>
    <s v="2-4 hrs"/>
    <n v="17.28000000002794"/>
    <s v="Satisfied"/>
  </r>
  <r>
    <x v="423"/>
    <d v="2025-02-28T00:00:00"/>
    <d v="2025-03-01T16:07:12"/>
    <x v="3"/>
    <x v="0"/>
    <x v="3"/>
    <x v="1"/>
    <x v="2"/>
    <n v="40.119999999999997"/>
    <n v="5.1100000000000003"/>
    <n v="4"/>
    <x v="0"/>
    <s v="24+ hrs"/>
    <s v="4+ hrs"/>
    <n v="40.120000000053551"/>
    <s v="Satisfied"/>
  </r>
  <r>
    <x v="424"/>
    <d v="2025-01-27T00:00:00"/>
    <d v="2025-01-28T21:52:48"/>
    <x v="0"/>
    <x v="2"/>
    <x v="3"/>
    <x v="2"/>
    <x v="2"/>
    <n v="45.88"/>
    <n v="5.08"/>
    <n v="1"/>
    <x v="0"/>
    <s v="24+ hrs"/>
    <s v="4+ hrs"/>
    <n v="45.880000000004657"/>
    <s v="Dissatisfied"/>
  </r>
  <r>
    <x v="425"/>
    <d v="2025-01-12T00:00:00"/>
    <d v="2025-01-13T06:22:48"/>
    <x v="0"/>
    <x v="3"/>
    <x v="1"/>
    <x v="2"/>
    <x v="2"/>
    <n v="30.38"/>
    <n v="1.1499999999999999"/>
    <n v="4"/>
    <x v="0"/>
    <s v="24+ hrs"/>
    <s v="1-2 hrs"/>
    <n v="30.379999999946449"/>
    <s v="Satisfied"/>
  </r>
  <r>
    <x v="426"/>
    <d v="2025-02-12T00:00:00"/>
    <d v="2025-02-12T09:56:24"/>
    <x v="3"/>
    <x v="3"/>
    <x v="0"/>
    <x v="2"/>
    <x v="2"/>
    <n v="9.94"/>
    <n v="3.09"/>
    <n v="3"/>
    <x v="0"/>
    <s v="8-24 hrs"/>
    <s v="2-4 hrs"/>
    <n v="9.940000000060536"/>
    <s v="Neutral"/>
  </r>
  <r>
    <x v="427"/>
    <d v="2025-01-02T00:00:00"/>
    <d v="2025-01-03T15:09:00"/>
    <x v="3"/>
    <x v="3"/>
    <x v="4"/>
    <x v="0"/>
    <x v="1"/>
    <n v="39.15"/>
    <n v="2.97"/>
    <n v="1"/>
    <x v="0"/>
    <s v="24+ hrs"/>
    <s v="2-4 hrs"/>
    <n v="39.149999999965075"/>
    <s v="Dissatisfied"/>
  </r>
  <r>
    <x v="428"/>
    <d v="2025-02-18T00:00:00"/>
    <d v="2025-02-18T06:42:00"/>
    <x v="1"/>
    <x v="2"/>
    <x v="1"/>
    <x v="1"/>
    <x v="0"/>
    <n v="6.7"/>
    <n v="4.74"/>
    <n v="3"/>
    <x v="0"/>
    <s v="4-8 hrs"/>
    <s v="4+ hrs"/>
    <n v="6.7000000000116415"/>
    <s v="Neutral"/>
  </r>
  <r>
    <x v="429"/>
    <d v="2025-02-06T00:00:00"/>
    <d v="2025-02-07T16:34:12"/>
    <x v="0"/>
    <x v="2"/>
    <x v="2"/>
    <x v="1"/>
    <x v="2"/>
    <n v="40.57"/>
    <n v="5.41"/>
    <n v="5"/>
    <x v="0"/>
    <s v="24+ hrs"/>
    <s v="4+ hrs"/>
    <n v="40.569999999774154"/>
    <s v="Satisfied"/>
  </r>
  <r>
    <x v="430"/>
    <d v="2025-01-29T00:00:00"/>
    <d v="2025-01-29T12:08:24"/>
    <x v="2"/>
    <x v="3"/>
    <x v="2"/>
    <x v="0"/>
    <x v="2"/>
    <n v="12.14"/>
    <n v="6.4"/>
    <n v="4"/>
    <x v="0"/>
    <s v="8-24 hrs"/>
    <s v="4+ hrs"/>
    <n v="12.1400000002468"/>
    <s v="Satisfied"/>
  </r>
  <r>
    <x v="431"/>
    <d v="2025-02-16T00:00:00"/>
    <d v="2025-02-16T14:07:12"/>
    <x v="3"/>
    <x v="0"/>
    <x v="0"/>
    <x v="1"/>
    <x v="2"/>
    <n v="14.12"/>
    <n v="2.13"/>
    <n v="1"/>
    <x v="0"/>
    <s v="8-24 hrs"/>
    <s v="2-4 hrs"/>
    <n v="14.119999999995343"/>
    <s v="Dissatisfied"/>
  </r>
  <r>
    <x v="432"/>
    <d v="2025-03-06T00:00:00"/>
    <d v="2025-03-07T19:36:36"/>
    <x v="1"/>
    <x v="2"/>
    <x v="3"/>
    <x v="1"/>
    <x v="2"/>
    <n v="43.61"/>
    <n v="0.6"/>
    <n v="5"/>
    <x v="0"/>
    <s v="24+ hrs"/>
    <s v="0-1 hr"/>
    <n v="43.610000000218861"/>
    <s v="Satisfied"/>
  </r>
  <r>
    <x v="433"/>
    <d v="2025-01-12T00:00:00"/>
    <d v="2025-01-13T02:06:00"/>
    <x v="0"/>
    <x v="3"/>
    <x v="1"/>
    <x v="2"/>
    <x v="1"/>
    <n v="26.1"/>
    <n v="2.5099999999999998"/>
    <n v="4"/>
    <x v="0"/>
    <s v="24+ hrs"/>
    <s v="2-4 hrs"/>
    <n v="26.100000000034925"/>
    <s v="Satisfied"/>
  </r>
  <r>
    <x v="434"/>
    <d v="2025-02-14T00:00:00"/>
    <d v="2025-02-15T10:25:48"/>
    <x v="1"/>
    <x v="1"/>
    <x v="2"/>
    <x v="1"/>
    <x v="1"/>
    <n v="34.43"/>
    <n v="6.77"/>
    <n v="5"/>
    <x v="0"/>
    <s v="24+ hrs"/>
    <s v="4+ hrs"/>
    <n v="34.430000000225846"/>
    <s v="Satisfied"/>
  </r>
  <r>
    <x v="435"/>
    <d v="2025-02-20T00:00:00"/>
    <d v="2025-02-20T20:45:36"/>
    <x v="2"/>
    <x v="3"/>
    <x v="1"/>
    <x v="2"/>
    <x v="2"/>
    <n v="20.76"/>
    <n v="2.34"/>
    <n v="5"/>
    <x v="0"/>
    <s v="8-24 hrs"/>
    <s v="2-4 hrs"/>
    <n v="20.759999999951106"/>
    <s v="Satisfied"/>
  </r>
  <r>
    <x v="436"/>
    <d v="2025-01-07T00:00:00"/>
    <d v="2025-01-08T03:39:00"/>
    <x v="3"/>
    <x v="1"/>
    <x v="1"/>
    <x v="2"/>
    <x v="0"/>
    <n v="27.65"/>
    <n v="5.67"/>
    <n v="4"/>
    <x v="0"/>
    <s v="24+ hrs"/>
    <s v="4+ hrs"/>
    <n v="27.64999999984866"/>
    <s v="Satisfied"/>
  </r>
  <r>
    <x v="437"/>
    <d v="2025-03-22T00:00:00"/>
    <d v="2025-03-23T06:27:00"/>
    <x v="1"/>
    <x v="0"/>
    <x v="0"/>
    <x v="1"/>
    <x v="2"/>
    <n v="30.45"/>
    <n v="1.18"/>
    <n v="3"/>
    <x v="0"/>
    <s v="24+ hrs"/>
    <s v="1-2 hrs"/>
    <n v="30.450000000069849"/>
    <s v="Neutral"/>
  </r>
  <r>
    <x v="438"/>
    <d v="2025-02-06T00:00:00"/>
    <d v="2025-02-07T01:09:36"/>
    <x v="2"/>
    <x v="0"/>
    <x v="2"/>
    <x v="1"/>
    <x v="0"/>
    <n v="25.16"/>
    <n v="7.05"/>
    <n v="5"/>
    <x v="0"/>
    <s v="24+ hrs"/>
    <s v="4+ hrs"/>
    <n v="25.159999999974389"/>
    <s v="Satisfied"/>
  </r>
  <r>
    <x v="439"/>
    <d v="2025-01-13T00:00:00"/>
    <d v="2025-01-13T08:36:36"/>
    <x v="0"/>
    <x v="1"/>
    <x v="2"/>
    <x v="2"/>
    <x v="0"/>
    <n v="8.61"/>
    <n v="5.35"/>
    <n v="4"/>
    <x v="0"/>
    <s v="8-24 hrs"/>
    <s v="4+ hrs"/>
    <n v="8.6099999999860302"/>
    <s v="Satisfied"/>
  </r>
  <r>
    <x v="440"/>
    <d v="2025-02-18T00:00:00"/>
    <d v="2025-02-18T04:55:12"/>
    <x v="3"/>
    <x v="3"/>
    <x v="0"/>
    <x v="1"/>
    <x v="0"/>
    <n v="4.92"/>
    <n v="7.84"/>
    <n v="4"/>
    <x v="0"/>
    <s v="4-8 hrs"/>
    <s v="4+ hrs"/>
    <n v="4.9200000000419095"/>
    <s v="Satisfied"/>
  </r>
  <r>
    <x v="441"/>
    <d v="2025-02-28T00:00:00"/>
    <d v="2025-02-28T17:14:24"/>
    <x v="3"/>
    <x v="1"/>
    <x v="4"/>
    <x v="2"/>
    <x v="2"/>
    <n v="17.239999999999998"/>
    <n v="4.72"/>
    <n v="5"/>
    <x v="0"/>
    <s v="8-24 hrs"/>
    <s v="4+ hrs"/>
    <n v="17.239999999932479"/>
    <s v="Satisfied"/>
  </r>
  <r>
    <x v="442"/>
    <d v="2025-02-14T00:00:00"/>
    <d v="2025-02-14T21:42:36"/>
    <x v="1"/>
    <x v="1"/>
    <x v="3"/>
    <x v="2"/>
    <x v="2"/>
    <n v="21.71"/>
    <n v="5.47"/>
    <n v="5"/>
    <x v="0"/>
    <s v="8-24 hrs"/>
    <s v="4+ hrs"/>
    <n v="21.710000000079162"/>
    <s v="Satisfied"/>
  </r>
  <r>
    <x v="443"/>
    <d v="2025-03-20T00:00:00"/>
    <d v="2025-03-21T09:45:00"/>
    <x v="2"/>
    <x v="0"/>
    <x v="4"/>
    <x v="0"/>
    <x v="2"/>
    <n v="33.75"/>
    <n v="2.82"/>
    <n v="5"/>
    <x v="0"/>
    <s v="24+ hrs"/>
    <s v="2-4 hrs"/>
    <n v="33.75"/>
    <s v="Satisfied"/>
  </r>
  <r>
    <x v="444"/>
    <d v="2025-02-20T00:00:00"/>
    <d v="2025-02-20T16:59:24"/>
    <x v="1"/>
    <x v="0"/>
    <x v="0"/>
    <x v="1"/>
    <x v="0"/>
    <n v="16.989999999999998"/>
    <n v="4.3499999999999996"/>
    <n v="3"/>
    <x v="0"/>
    <s v="8-24 hrs"/>
    <s v="4+ hrs"/>
    <n v="16.99000000016531"/>
    <s v="Neutral"/>
  </r>
  <r>
    <x v="445"/>
    <d v="2025-02-18T00:00:00"/>
    <d v="2025-02-19T00:18:36"/>
    <x v="1"/>
    <x v="3"/>
    <x v="2"/>
    <x v="1"/>
    <x v="2"/>
    <n v="24.31"/>
    <n v="3.86"/>
    <n v="2"/>
    <x v="0"/>
    <s v="24+ hrs"/>
    <s v="2-4 hrs"/>
    <n v="24.309999999997672"/>
    <s v="Dissatisfied"/>
  </r>
  <r>
    <x v="446"/>
    <d v="2025-03-08T00:00:00"/>
    <d v="2025-03-09T16:30:00"/>
    <x v="2"/>
    <x v="2"/>
    <x v="2"/>
    <x v="0"/>
    <x v="2"/>
    <n v="40.5"/>
    <n v="4.3099999999999996"/>
    <n v="4"/>
    <x v="0"/>
    <s v="24+ hrs"/>
    <s v="4+ hrs"/>
    <n v="40.5"/>
    <s v="Satisfied"/>
  </r>
  <r>
    <x v="447"/>
    <d v="2025-01-14T00:00:00"/>
    <d v="2025-01-14T09:33:36"/>
    <x v="1"/>
    <x v="0"/>
    <x v="0"/>
    <x v="0"/>
    <x v="0"/>
    <n v="9.56"/>
    <n v="7.56"/>
    <n v="4"/>
    <x v="0"/>
    <s v="8-24 hrs"/>
    <s v="4+ hrs"/>
    <n v="9.559999999939464"/>
    <s v="Satisfied"/>
  </r>
  <r>
    <x v="448"/>
    <d v="2025-01-24T00:00:00"/>
    <d v="2025-01-24T09:52:48"/>
    <x v="1"/>
    <x v="2"/>
    <x v="1"/>
    <x v="2"/>
    <x v="0"/>
    <n v="9.8800000000000008"/>
    <n v="3.67"/>
    <n v="1"/>
    <x v="0"/>
    <s v="8-24 hrs"/>
    <s v="2-4 hrs"/>
    <n v="9.8800000000046566"/>
    <s v="Dissatisfied"/>
  </r>
  <r>
    <x v="449"/>
    <d v="2025-01-06T00:00:00"/>
    <d v="2025-01-07T00:19:12"/>
    <x v="0"/>
    <x v="0"/>
    <x v="2"/>
    <x v="0"/>
    <x v="2"/>
    <n v="24.32"/>
    <n v="6.26"/>
    <n v="1"/>
    <x v="0"/>
    <s v="24+ hrs"/>
    <s v="4+ hrs"/>
    <n v="24.320000000239816"/>
    <s v="Dissatisfied"/>
  </r>
  <r>
    <x v="450"/>
    <d v="2025-01-05T00:00:00"/>
    <d v="2025-01-06T19:09:36"/>
    <x v="2"/>
    <x v="0"/>
    <x v="3"/>
    <x v="2"/>
    <x v="2"/>
    <n v="43.16"/>
    <n v="4.75"/>
    <n v="5"/>
    <x v="0"/>
    <s v="24+ hrs"/>
    <s v="4+ hrs"/>
    <n v="43.159999999974389"/>
    <s v="Satisfied"/>
  </r>
  <r>
    <x v="451"/>
    <d v="2025-01-11T00:00:00"/>
    <d v="2025-01-12T17:35:24"/>
    <x v="3"/>
    <x v="3"/>
    <x v="2"/>
    <x v="1"/>
    <x v="1"/>
    <n v="41.59"/>
    <n v="3.32"/>
    <n v="4"/>
    <x v="0"/>
    <s v="24+ hrs"/>
    <s v="2-4 hrs"/>
    <n v="41.590000000025611"/>
    <s v="Satisfied"/>
  </r>
  <r>
    <x v="452"/>
    <d v="2025-02-23T00:00:00"/>
    <d v="2025-02-23T04:12:36"/>
    <x v="3"/>
    <x v="0"/>
    <x v="3"/>
    <x v="2"/>
    <x v="1"/>
    <n v="4.21"/>
    <n v="4.58"/>
    <n v="5"/>
    <x v="1"/>
    <s v="4-8 hrs"/>
    <s v="4+ hrs"/>
    <n v="4.2100000001373701"/>
    <s v="Satisfied"/>
  </r>
  <r>
    <x v="453"/>
    <d v="2025-02-09T00:00:00"/>
    <d v="2025-02-10T21:34:48"/>
    <x v="1"/>
    <x v="3"/>
    <x v="3"/>
    <x v="0"/>
    <x v="1"/>
    <n v="45.58"/>
    <n v="6.27"/>
    <n v="4"/>
    <x v="0"/>
    <s v="24+ hrs"/>
    <s v="4+ hrs"/>
    <n v="45.580000000074506"/>
    <s v="Satisfied"/>
  </r>
  <r>
    <x v="454"/>
    <d v="2025-02-12T00:00:00"/>
    <d v="2025-02-12T01:14:24"/>
    <x v="1"/>
    <x v="1"/>
    <x v="1"/>
    <x v="2"/>
    <x v="1"/>
    <n v="1.24"/>
    <n v="0.53"/>
    <n v="4"/>
    <x v="1"/>
    <s v="0-4 hrs"/>
    <s v="0-1 hr"/>
    <n v="1.2400000001653098"/>
    <s v="Satisfied"/>
  </r>
  <r>
    <x v="455"/>
    <d v="2025-01-24T00:00:00"/>
    <d v="2025-01-25T21:36:36"/>
    <x v="0"/>
    <x v="3"/>
    <x v="2"/>
    <x v="0"/>
    <x v="2"/>
    <n v="45.61"/>
    <n v="6.26"/>
    <n v="3"/>
    <x v="0"/>
    <s v="24+ hrs"/>
    <s v="4+ hrs"/>
    <n v="45.6099999997532"/>
    <s v="Neutral"/>
  </r>
  <r>
    <x v="456"/>
    <d v="2025-02-17T00:00:00"/>
    <d v="2025-02-17T14:33:36"/>
    <x v="3"/>
    <x v="3"/>
    <x v="3"/>
    <x v="0"/>
    <x v="1"/>
    <n v="14.56"/>
    <n v="4.1900000000000004"/>
    <n v="5"/>
    <x v="1"/>
    <s v="8-24 hrs"/>
    <s v="4+ hrs"/>
    <n v="14.559999999997672"/>
    <s v="Satisfied"/>
  </r>
  <r>
    <x v="457"/>
    <d v="2025-02-16T00:00:00"/>
    <d v="2025-02-17T14:57:00"/>
    <x v="1"/>
    <x v="2"/>
    <x v="0"/>
    <x v="2"/>
    <x v="0"/>
    <n v="38.950000000000003"/>
    <n v="5.23"/>
    <n v="2"/>
    <x v="0"/>
    <s v="24+ hrs"/>
    <s v="4+ hrs"/>
    <n v="38.950000000011642"/>
    <s v="Dissatisfied"/>
  </r>
  <r>
    <x v="458"/>
    <d v="2025-01-07T00:00:00"/>
    <d v="2025-01-07T22:38:24"/>
    <x v="1"/>
    <x v="2"/>
    <x v="3"/>
    <x v="2"/>
    <x v="2"/>
    <n v="22.64"/>
    <n v="3.16"/>
    <n v="3"/>
    <x v="0"/>
    <s v="8-24 hrs"/>
    <s v="2-4 hrs"/>
    <n v="22.6400000002468"/>
    <s v="Neutral"/>
  </r>
  <r>
    <x v="459"/>
    <d v="2025-01-15T00:00:00"/>
    <d v="2025-01-15T17:05:24"/>
    <x v="0"/>
    <x v="3"/>
    <x v="3"/>
    <x v="1"/>
    <x v="0"/>
    <n v="17.09"/>
    <n v="3.2"/>
    <n v="3"/>
    <x v="0"/>
    <s v="8-24 hrs"/>
    <s v="2-4 hrs"/>
    <n v="17.089999999967404"/>
    <s v="Neutral"/>
  </r>
  <r>
    <x v="460"/>
    <d v="2025-01-20T00:00:00"/>
    <d v="2025-01-21T13:37:12"/>
    <x v="3"/>
    <x v="2"/>
    <x v="1"/>
    <x v="1"/>
    <x v="2"/>
    <n v="37.619999999999997"/>
    <n v="7.21"/>
    <n v="5"/>
    <x v="0"/>
    <s v="24+ hrs"/>
    <s v="4+ hrs"/>
    <n v="37.619999999937136"/>
    <s v="Satisfied"/>
  </r>
  <r>
    <x v="461"/>
    <d v="2025-02-22T00:00:00"/>
    <d v="2025-02-23T05:20:24"/>
    <x v="3"/>
    <x v="1"/>
    <x v="1"/>
    <x v="0"/>
    <x v="1"/>
    <n v="29.34"/>
    <n v="4.42"/>
    <n v="3"/>
    <x v="0"/>
    <s v="24+ hrs"/>
    <s v="4+ hrs"/>
    <n v="29.340000000083819"/>
    <s v="Neutral"/>
  </r>
  <r>
    <x v="462"/>
    <d v="2025-03-18T00:00:00"/>
    <d v="2025-03-19T23:12:36"/>
    <x v="1"/>
    <x v="1"/>
    <x v="3"/>
    <x v="2"/>
    <x v="2"/>
    <n v="47.21"/>
    <n v="2.4500000000000002"/>
    <n v="1"/>
    <x v="0"/>
    <s v="24+ hrs"/>
    <s v="2-4 hrs"/>
    <n v="47.210000000079162"/>
    <s v="Dissatisfied"/>
  </r>
  <r>
    <x v="463"/>
    <d v="2025-01-12T00:00:00"/>
    <d v="2025-01-13T23:35:24"/>
    <x v="1"/>
    <x v="0"/>
    <x v="4"/>
    <x v="0"/>
    <x v="2"/>
    <n v="47.59"/>
    <n v="2.68"/>
    <n v="5"/>
    <x v="0"/>
    <s v="24+ hrs"/>
    <s v="2-4 hrs"/>
    <n v="47.590000000025611"/>
    <s v="Satisfied"/>
  </r>
  <r>
    <x v="464"/>
    <d v="2025-01-17T00:00:00"/>
    <d v="2025-01-17T19:50:24"/>
    <x v="0"/>
    <x v="3"/>
    <x v="1"/>
    <x v="0"/>
    <x v="1"/>
    <n v="19.84"/>
    <n v="3.88"/>
    <n v="5"/>
    <x v="1"/>
    <s v="8-24 hrs"/>
    <s v="2-4 hrs"/>
    <n v="19.840000000025611"/>
    <s v="Satisfied"/>
  </r>
  <r>
    <x v="465"/>
    <d v="2025-01-21T00:00:00"/>
    <d v="2025-01-22T07:30:36"/>
    <x v="1"/>
    <x v="0"/>
    <x v="1"/>
    <x v="2"/>
    <x v="1"/>
    <n v="31.51"/>
    <n v="2.76"/>
    <n v="2"/>
    <x v="0"/>
    <s v="24+ hrs"/>
    <s v="2-4 hrs"/>
    <n v="31.510000000067521"/>
    <s v="Dissatisfied"/>
  </r>
  <r>
    <x v="466"/>
    <d v="2025-03-16T00:00:00"/>
    <d v="2025-03-16T06:14:24"/>
    <x v="0"/>
    <x v="3"/>
    <x v="4"/>
    <x v="2"/>
    <x v="1"/>
    <n v="6.24"/>
    <n v="6.16"/>
    <n v="4"/>
    <x v="1"/>
    <s v="4-8 hrs"/>
    <s v="4+ hrs"/>
    <n v="6.2400000000488944"/>
    <s v="Satisfied"/>
  </r>
  <r>
    <x v="467"/>
    <d v="2025-03-27T00:00:00"/>
    <d v="2025-03-27T04:09:00"/>
    <x v="3"/>
    <x v="1"/>
    <x v="4"/>
    <x v="0"/>
    <x v="1"/>
    <n v="4.1500000000000004"/>
    <n v="7.43"/>
    <n v="1"/>
    <x v="1"/>
    <s v="4-8 hrs"/>
    <s v="4+ hrs"/>
    <n v="4.1500000000814907"/>
    <s v="Dissatisfied"/>
  </r>
  <r>
    <x v="468"/>
    <d v="2025-02-28T00:00:00"/>
    <d v="2025-02-28T06:24:00"/>
    <x v="3"/>
    <x v="0"/>
    <x v="3"/>
    <x v="1"/>
    <x v="2"/>
    <n v="6.4"/>
    <n v="6.5"/>
    <n v="2"/>
    <x v="1"/>
    <s v="4-8 hrs"/>
    <s v="4+ hrs"/>
    <n v="6.4000000000814907"/>
    <s v="Dissatisfied"/>
  </r>
  <r>
    <x v="469"/>
    <d v="2025-02-22T00:00:00"/>
    <d v="2025-02-23T18:14:24"/>
    <x v="1"/>
    <x v="0"/>
    <x v="2"/>
    <x v="0"/>
    <x v="1"/>
    <n v="42.24"/>
    <n v="2.96"/>
    <n v="5"/>
    <x v="0"/>
    <s v="24+ hrs"/>
    <s v="2-4 hrs"/>
    <n v="42.240000000048894"/>
    <s v="Satisfied"/>
  </r>
  <r>
    <x v="470"/>
    <d v="2025-03-08T00:00:00"/>
    <d v="2025-03-09T06:26:24"/>
    <x v="0"/>
    <x v="1"/>
    <x v="4"/>
    <x v="2"/>
    <x v="0"/>
    <n v="30.44"/>
    <n v="7.33"/>
    <n v="2"/>
    <x v="0"/>
    <s v="24+ hrs"/>
    <s v="4+ hrs"/>
    <n v="30.440000000002328"/>
    <s v="Dissatisfied"/>
  </r>
  <r>
    <x v="471"/>
    <d v="2025-01-09T00:00:00"/>
    <d v="2025-01-09T14:12:36"/>
    <x v="1"/>
    <x v="1"/>
    <x v="4"/>
    <x v="2"/>
    <x v="0"/>
    <n v="14.21"/>
    <n v="6.45"/>
    <n v="2"/>
    <x v="0"/>
    <s v="8-24 hrs"/>
    <s v="4+ hrs"/>
    <n v="14.210000000079162"/>
    <s v="Dissatisfied"/>
  </r>
  <r>
    <x v="472"/>
    <d v="2025-02-07T00:00:00"/>
    <d v="2025-02-07T23:46:48"/>
    <x v="0"/>
    <x v="2"/>
    <x v="0"/>
    <x v="2"/>
    <x v="2"/>
    <n v="23.78"/>
    <n v="2.52"/>
    <n v="4"/>
    <x v="0"/>
    <s v="8-24 hrs"/>
    <s v="2-4 hrs"/>
    <n v="23.780000000086147"/>
    <s v="Satisfied"/>
  </r>
  <r>
    <x v="473"/>
    <d v="2025-03-23T00:00:00"/>
    <d v="2025-03-24T18:52:48"/>
    <x v="3"/>
    <x v="3"/>
    <x v="1"/>
    <x v="1"/>
    <x v="2"/>
    <n v="42.88"/>
    <n v="6.35"/>
    <n v="5"/>
    <x v="0"/>
    <s v="24+ hrs"/>
    <s v="4+ hrs"/>
    <n v="42.880000000004657"/>
    <s v="Satisfied"/>
  </r>
  <r>
    <x v="474"/>
    <d v="2025-02-17T00:00:00"/>
    <d v="2025-02-17T08:59:24"/>
    <x v="2"/>
    <x v="3"/>
    <x v="3"/>
    <x v="1"/>
    <x v="2"/>
    <n v="8.99"/>
    <n v="0.54"/>
    <n v="5"/>
    <x v="0"/>
    <s v="8-24 hrs"/>
    <s v="0-1 hr"/>
    <n v="8.9899999999324791"/>
    <s v="Satisfied"/>
  </r>
  <r>
    <x v="475"/>
    <d v="2025-03-14T00:00:00"/>
    <d v="2025-03-15T23:37:48"/>
    <x v="3"/>
    <x v="0"/>
    <x v="4"/>
    <x v="0"/>
    <x v="2"/>
    <n v="47.63"/>
    <n v="1.65"/>
    <n v="2"/>
    <x v="0"/>
    <s v="24+ hrs"/>
    <s v="1-2 hrs"/>
    <n v="47.629999999946449"/>
    <s v="Dissatisfied"/>
  </r>
  <r>
    <x v="476"/>
    <d v="2025-02-17T00:00:00"/>
    <d v="2025-02-18T15:58:12"/>
    <x v="0"/>
    <x v="3"/>
    <x v="2"/>
    <x v="1"/>
    <x v="0"/>
    <n v="39.97"/>
    <n v="3.5"/>
    <n v="1"/>
    <x v="0"/>
    <s v="24+ hrs"/>
    <s v="2-4 hrs"/>
    <n v="39.969999999913853"/>
    <s v="Dissatisfied"/>
  </r>
  <r>
    <x v="477"/>
    <d v="2025-03-24T00:00:00"/>
    <d v="2025-03-25T08:51:00"/>
    <x v="3"/>
    <x v="2"/>
    <x v="1"/>
    <x v="1"/>
    <x v="0"/>
    <n v="32.85"/>
    <n v="1.66"/>
    <n v="3"/>
    <x v="0"/>
    <s v="24+ hrs"/>
    <s v="1-2 hrs"/>
    <n v="32.850000000034925"/>
    <s v="Neutral"/>
  </r>
  <r>
    <x v="478"/>
    <d v="2025-03-23T00:00:00"/>
    <d v="2025-03-23T09:30:00"/>
    <x v="3"/>
    <x v="2"/>
    <x v="1"/>
    <x v="0"/>
    <x v="0"/>
    <n v="9.5"/>
    <n v="3.3"/>
    <n v="3"/>
    <x v="0"/>
    <s v="8-24 hrs"/>
    <s v="2-4 hrs"/>
    <n v="9.5000000002328306"/>
    <s v="Neutral"/>
  </r>
  <r>
    <x v="479"/>
    <d v="2025-01-16T00:00:00"/>
    <d v="2025-01-17T03:33:36"/>
    <x v="3"/>
    <x v="3"/>
    <x v="1"/>
    <x v="1"/>
    <x v="1"/>
    <n v="27.56"/>
    <n v="3.65"/>
    <n v="2"/>
    <x v="0"/>
    <s v="24+ hrs"/>
    <s v="2-4 hrs"/>
    <n v="27.559999999939464"/>
    <s v="Dissatisfied"/>
  </r>
  <r>
    <x v="480"/>
    <d v="2025-01-03T00:00:00"/>
    <d v="2025-01-04T01:24:36"/>
    <x v="1"/>
    <x v="0"/>
    <x v="3"/>
    <x v="2"/>
    <x v="0"/>
    <n v="25.41"/>
    <n v="0.66"/>
    <n v="3"/>
    <x v="0"/>
    <s v="24+ hrs"/>
    <s v="0-1 hr"/>
    <n v="25.409999999916181"/>
    <s v="Neutral"/>
  </r>
  <r>
    <x v="481"/>
    <d v="2025-03-03T00:00:00"/>
    <d v="2025-03-04T14:47:24"/>
    <x v="0"/>
    <x v="3"/>
    <x v="0"/>
    <x v="2"/>
    <x v="1"/>
    <n v="38.79"/>
    <n v="7.35"/>
    <n v="3"/>
    <x v="0"/>
    <s v="24+ hrs"/>
    <s v="4+ hrs"/>
    <n v="38.789999999979045"/>
    <s v="Neutral"/>
  </r>
  <r>
    <x v="482"/>
    <d v="2025-03-15T00:00:00"/>
    <d v="2025-03-15T16:18:36"/>
    <x v="2"/>
    <x v="0"/>
    <x v="1"/>
    <x v="1"/>
    <x v="2"/>
    <n v="16.309999999999999"/>
    <n v="5.07"/>
    <n v="2"/>
    <x v="0"/>
    <s v="8-24 hrs"/>
    <s v="4+ hrs"/>
    <n v="16.309999999939464"/>
    <s v="Dissatisfied"/>
  </r>
  <r>
    <x v="483"/>
    <d v="2025-03-23T00:00:00"/>
    <d v="2025-03-23T19:33:36"/>
    <x v="0"/>
    <x v="3"/>
    <x v="3"/>
    <x v="0"/>
    <x v="1"/>
    <n v="19.559999999999999"/>
    <n v="0.95"/>
    <n v="5"/>
    <x v="1"/>
    <s v="8-24 hrs"/>
    <s v="0-1 hr"/>
    <n v="19.560000000055879"/>
    <s v="Satisfied"/>
  </r>
  <r>
    <x v="484"/>
    <d v="2025-01-29T00:00:00"/>
    <d v="2025-01-30T05:10:12"/>
    <x v="3"/>
    <x v="0"/>
    <x v="1"/>
    <x v="0"/>
    <x v="0"/>
    <n v="29.17"/>
    <n v="7.37"/>
    <n v="1"/>
    <x v="0"/>
    <s v="24+ hrs"/>
    <s v="4+ hrs"/>
    <n v="29.170000000158325"/>
    <s v="Dissatisfied"/>
  </r>
  <r>
    <x v="485"/>
    <d v="2025-03-02T00:00:00"/>
    <d v="2025-03-02T19:33:36"/>
    <x v="0"/>
    <x v="2"/>
    <x v="2"/>
    <x v="0"/>
    <x v="1"/>
    <n v="19.559999999999999"/>
    <n v="1.41"/>
    <n v="4"/>
    <x v="1"/>
    <s v="8-24 hrs"/>
    <s v="1-2 hrs"/>
    <n v="19.560000000055879"/>
    <s v="Satisfied"/>
  </r>
  <r>
    <x v="486"/>
    <d v="2025-01-29T00:00:00"/>
    <d v="2025-01-29T17:34:12"/>
    <x v="3"/>
    <x v="1"/>
    <x v="3"/>
    <x v="2"/>
    <x v="1"/>
    <n v="17.57"/>
    <n v="2.4300000000000002"/>
    <n v="1"/>
    <x v="1"/>
    <s v="8-24 hrs"/>
    <s v="2-4 hrs"/>
    <n v="17.570000000239816"/>
    <s v="Dissatisfied"/>
  </r>
  <r>
    <x v="487"/>
    <d v="2025-02-21T00:00:00"/>
    <d v="2025-02-22T02:25:12"/>
    <x v="2"/>
    <x v="3"/>
    <x v="1"/>
    <x v="1"/>
    <x v="2"/>
    <n v="26.42"/>
    <n v="3.82"/>
    <n v="4"/>
    <x v="0"/>
    <s v="24+ hrs"/>
    <s v="2-4 hrs"/>
    <n v="26.419999999925494"/>
    <s v="Satisfied"/>
  </r>
  <r>
    <x v="488"/>
    <d v="2025-02-09T00:00:00"/>
    <d v="2025-02-09T21:39:00"/>
    <x v="2"/>
    <x v="2"/>
    <x v="4"/>
    <x v="1"/>
    <x v="2"/>
    <n v="21.65"/>
    <n v="1.36"/>
    <n v="3"/>
    <x v="0"/>
    <s v="8-24 hrs"/>
    <s v="1-2 hrs"/>
    <n v="21.64999999984866"/>
    <s v="Neutral"/>
  </r>
  <r>
    <x v="489"/>
    <d v="2025-03-27T00:00:00"/>
    <d v="2025-03-28T17:02:24"/>
    <x v="0"/>
    <x v="0"/>
    <x v="0"/>
    <x v="1"/>
    <x v="1"/>
    <n v="41.04"/>
    <n v="4.9000000000000004"/>
    <n v="1"/>
    <x v="0"/>
    <s v="24+ hrs"/>
    <s v="4+ hrs"/>
    <n v="41.039999999979045"/>
    <s v="Dissatisfied"/>
  </r>
  <r>
    <x v="490"/>
    <d v="2025-01-28T00:00:00"/>
    <d v="2025-01-29T23:08:24"/>
    <x v="3"/>
    <x v="0"/>
    <x v="3"/>
    <x v="0"/>
    <x v="1"/>
    <n v="47.14"/>
    <n v="6.52"/>
    <n v="4"/>
    <x v="0"/>
    <s v="24+ hrs"/>
    <s v="4+ hrs"/>
    <n v="47.139999999781139"/>
    <s v="Satisfied"/>
  </r>
  <r>
    <x v="491"/>
    <d v="2025-01-04T00:00:00"/>
    <d v="2025-01-04T04:34:12"/>
    <x v="3"/>
    <x v="3"/>
    <x v="1"/>
    <x v="0"/>
    <x v="2"/>
    <n v="4.57"/>
    <n v="1.69"/>
    <n v="4"/>
    <x v="1"/>
    <s v="4-8 hrs"/>
    <s v="1-2 hrs"/>
    <n v="4.5699999997741543"/>
    <s v="Satisfied"/>
  </r>
  <r>
    <x v="492"/>
    <d v="2025-01-14T00:00:00"/>
    <d v="2025-01-14T02:19:48"/>
    <x v="3"/>
    <x v="2"/>
    <x v="1"/>
    <x v="0"/>
    <x v="0"/>
    <n v="2.33"/>
    <n v="5.23"/>
    <n v="2"/>
    <x v="1"/>
    <s v="0-4 hrs"/>
    <s v="4+ hrs"/>
    <n v="2.3299999998416752"/>
    <s v="Dissatisfied"/>
  </r>
  <r>
    <x v="493"/>
    <d v="2025-03-03T00:00:00"/>
    <d v="2025-03-04T23:51:36"/>
    <x v="0"/>
    <x v="3"/>
    <x v="2"/>
    <x v="2"/>
    <x v="1"/>
    <n v="47.86"/>
    <n v="3.9"/>
    <n v="3"/>
    <x v="0"/>
    <s v="24+ hrs"/>
    <s v="2-4 hrs"/>
    <n v="47.8599999997532"/>
    <s v="Neutral"/>
  </r>
  <r>
    <x v="494"/>
    <d v="2025-01-28T00:00:00"/>
    <d v="2025-01-28T05:21:00"/>
    <x v="0"/>
    <x v="1"/>
    <x v="4"/>
    <x v="0"/>
    <x v="0"/>
    <n v="5.35"/>
    <n v="2.2999999999999998"/>
    <n v="1"/>
    <x v="0"/>
    <s v="4-8 hrs"/>
    <s v="2-4 hrs"/>
    <n v="5.3500000001513399"/>
    <s v="Dissatisfied"/>
  </r>
  <r>
    <x v="495"/>
    <d v="2025-03-11T00:00:00"/>
    <d v="2025-03-11T02:56:24"/>
    <x v="1"/>
    <x v="3"/>
    <x v="2"/>
    <x v="0"/>
    <x v="1"/>
    <n v="2.94"/>
    <n v="2.48"/>
    <n v="4"/>
    <x v="1"/>
    <s v="0-4 hrs"/>
    <s v="2-4 hrs"/>
    <n v="2.9399999999441206"/>
    <s v="Satisfied"/>
  </r>
  <r>
    <x v="496"/>
    <d v="2025-03-02T00:00:00"/>
    <d v="2025-03-02T17:31:48"/>
    <x v="2"/>
    <x v="0"/>
    <x v="0"/>
    <x v="1"/>
    <x v="2"/>
    <n v="17.53"/>
    <n v="3.42"/>
    <n v="1"/>
    <x v="0"/>
    <s v="8-24 hrs"/>
    <s v="2-4 hrs"/>
    <n v="17.530000000144355"/>
    <s v="Dissatisfied"/>
  </r>
  <r>
    <x v="497"/>
    <d v="2025-01-09T00:00:00"/>
    <d v="2025-01-10T01:58:48"/>
    <x v="3"/>
    <x v="2"/>
    <x v="2"/>
    <x v="1"/>
    <x v="1"/>
    <n v="25.98"/>
    <n v="0.71"/>
    <n v="3"/>
    <x v="0"/>
    <s v="24+ hrs"/>
    <s v="0-1 hr"/>
    <n v="25.979999999923166"/>
    <s v="Neutral"/>
  </r>
  <r>
    <x v="498"/>
    <d v="2025-02-19T00:00:00"/>
    <d v="2025-02-20T16:53:24"/>
    <x v="1"/>
    <x v="0"/>
    <x v="2"/>
    <x v="0"/>
    <x v="0"/>
    <n v="40.89"/>
    <n v="1.4"/>
    <n v="5"/>
    <x v="0"/>
    <s v="24+ hrs"/>
    <s v="1-2 hrs"/>
    <n v="40.89000000001397"/>
    <s v="Satisfied"/>
  </r>
  <r>
    <x v="499"/>
    <d v="2025-01-21T00:00:00"/>
    <d v="2025-01-22T13:56:24"/>
    <x v="0"/>
    <x v="2"/>
    <x v="4"/>
    <x v="1"/>
    <x v="1"/>
    <n v="37.94"/>
    <n v="1.28"/>
    <n v="2"/>
    <x v="0"/>
    <s v="24+ hrs"/>
    <s v="1-2 hrs"/>
    <n v="37.940000000002328"/>
    <s v="Dissatisfi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d v="2025-02-15T00:00:00"/>
    <n v="9.01"/>
    <n v="16"/>
    <n v="0.9"/>
    <n v="1.01"/>
    <x v="0"/>
    <n v="0.90011098779134291"/>
    <n v="8.11"/>
  </r>
  <r>
    <x v="0"/>
    <d v="2025-01-03T00:00:00"/>
    <n v="9.4499999999999993"/>
    <n v="6"/>
    <n v="1.84"/>
    <n v="1.45"/>
    <x v="1"/>
    <n v="0.80529100529100528"/>
    <n v="7.6099999999999994"/>
  </r>
  <r>
    <x v="0"/>
    <d v="2025-02-28T00:00:00"/>
    <n v="6.61"/>
    <n v="5"/>
    <n v="2.31"/>
    <n v="0"/>
    <x v="2"/>
    <n v="0.65052950075642968"/>
    <n v="4.3000000000000007"/>
  </r>
  <r>
    <x v="1"/>
    <d v="2025-02-19T00:00:00"/>
    <n v="6.12"/>
    <n v="21"/>
    <n v="1.36"/>
    <n v="0"/>
    <x v="3"/>
    <n v="0.77777777777777768"/>
    <n v="4.76"/>
  </r>
  <r>
    <x v="0"/>
    <d v="2025-03-07T00:00:00"/>
    <n v="6.46"/>
    <n v="15"/>
    <n v="1.97"/>
    <n v="0"/>
    <x v="4"/>
    <n v="0.695046439628483"/>
    <n v="4.49"/>
  </r>
  <r>
    <x v="0"/>
    <d v="2025-03-10T00:00:00"/>
    <n v="8.5399999999999991"/>
    <n v="23"/>
    <n v="0.69"/>
    <n v="0.54"/>
    <x v="5"/>
    <n v="0.91920374707259955"/>
    <n v="7.85"/>
  </r>
  <r>
    <x v="2"/>
    <d v="2025-03-30T00:00:00"/>
    <n v="6.89"/>
    <n v="12"/>
    <n v="0.2"/>
    <n v="0"/>
    <x v="6"/>
    <n v="0.97097242380261251"/>
    <n v="6.6899999999999995"/>
  </r>
  <r>
    <x v="1"/>
    <d v="2025-02-05T00:00:00"/>
    <n v="7.31"/>
    <n v="25"/>
    <n v="2.15"/>
    <n v="0"/>
    <x v="7"/>
    <n v="0.70588235294117652"/>
    <n v="5.16"/>
  </r>
  <r>
    <x v="3"/>
    <d v="2025-02-15T00:00:00"/>
    <n v="8.99"/>
    <n v="18"/>
    <n v="2.4500000000000002"/>
    <n v="0.99"/>
    <x v="8"/>
    <n v="0.72747497219132373"/>
    <n v="6.54"/>
  </r>
  <r>
    <x v="3"/>
    <d v="2025-02-20T00:00:00"/>
    <n v="9.5"/>
    <n v="19"/>
    <n v="1.79"/>
    <n v="1.5"/>
    <x v="9"/>
    <n v="0.81157894736842107"/>
    <n v="7.71"/>
  </r>
  <r>
    <x v="4"/>
    <d v="2025-03-08T00:00:00"/>
    <n v="6.68"/>
    <n v="18"/>
    <n v="0.81"/>
    <n v="0"/>
    <x v="10"/>
    <n v="0.87874251497005984"/>
    <n v="5.8699999999999992"/>
  </r>
  <r>
    <x v="4"/>
    <d v="2025-03-09T00:00:00"/>
    <n v="6.91"/>
    <n v="15"/>
    <n v="2.06"/>
    <n v="0"/>
    <x v="11"/>
    <n v="0.70188133140376263"/>
    <n v="4.8499999999999996"/>
  </r>
  <r>
    <x v="3"/>
    <d v="2025-03-03T00:00:00"/>
    <n v="7.97"/>
    <n v="25"/>
    <n v="2.85"/>
    <n v="0"/>
    <x v="12"/>
    <n v="0.64240903387703885"/>
    <n v="5.1199999999999992"/>
  </r>
  <r>
    <x v="4"/>
    <d v="2025-01-26T00:00:00"/>
    <n v="8.9"/>
    <n v="21"/>
    <n v="2.48"/>
    <n v="0.9"/>
    <x v="13"/>
    <n v="0.72134831460674154"/>
    <n v="6.42"/>
  </r>
  <r>
    <x v="0"/>
    <d v="2025-01-07T00:00:00"/>
    <n v="9.33"/>
    <n v="13"/>
    <n v="0.26"/>
    <n v="1.33"/>
    <x v="14"/>
    <n v="0.97213290460878887"/>
    <n v="9.07"/>
  </r>
  <r>
    <x v="0"/>
    <d v="2025-02-03T00:00:00"/>
    <n v="8.15"/>
    <n v="13"/>
    <n v="0.98"/>
    <n v="0.15"/>
    <x v="15"/>
    <n v="0.87975460122699378"/>
    <n v="7.17"/>
  </r>
  <r>
    <x v="2"/>
    <d v="2025-01-24T00:00:00"/>
    <n v="6.13"/>
    <n v="23"/>
    <n v="2.65"/>
    <n v="0"/>
    <x v="16"/>
    <n v="0.56769983686786296"/>
    <n v="3.48"/>
  </r>
  <r>
    <x v="3"/>
    <d v="2025-03-13T00:00:00"/>
    <n v="7.61"/>
    <n v="7"/>
    <n v="2.71"/>
    <n v="0"/>
    <x v="17"/>
    <n v="0.64388961892247043"/>
    <n v="4.9000000000000004"/>
  </r>
  <r>
    <x v="0"/>
    <d v="2025-01-31T00:00:00"/>
    <n v="9.02"/>
    <n v="15"/>
    <n v="1.1000000000000001"/>
    <n v="1.02"/>
    <x v="18"/>
    <n v="0.87804878048780488"/>
    <n v="7.92"/>
  </r>
  <r>
    <x v="1"/>
    <d v="2025-03-07T00:00:00"/>
    <n v="8.11"/>
    <n v="25"/>
    <n v="1.72"/>
    <n v="0.11"/>
    <x v="19"/>
    <n v="0.78791615289765726"/>
    <n v="6.39"/>
  </r>
  <r>
    <x v="4"/>
    <d v="2025-02-10T00:00:00"/>
    <n v="6.72"/>
    <n v="21"/>
    <n v="1.94"/>
    <n v="0"/>
    <x v="20"/>
    <n v="0.71130952380952372"/>
    <n v="4.7799999999999994"/>
  </r>
  <r>
    <x v="4"/>
    <d v="2025-01-10T00:00:00"/>
    <n v="9.66"/>
    <n v="18"/>
    <n v="1.54"/>
    <n v="1.66"/>
    <x v="21"/>
    <n v="0.84057971014492761"/>
    <n v="8.120000000000001"/>
  </r>
  <r>
    <x v="4"/>
    <d v="2025-02-10T00:00:00"/>
    <n v="7.89"/>
    <n v="8"/>
    <n v="2.96"/>
    <n v="0"/>
    <x v="22"/>
    <n v="0.62484157160963238"/>
    <n v="4.93"/>
  </r>
  <r>
    <x v="3"/>
    <d v="2025-03-05T00:00:00"/>
    <n v="7.28"/>
    <n v="13"/>
    <n v="2.38"/>
    <n v="0"/>
    <x v="23"/>
    <n v="0.67307692307692313"/>
    <n v="4.9000000000000004"/>
  </r>
  <r>
    <x v="3"/>
    <d v="2025-03-02T00:00:00"/>
    <n v="6.78"/>
    <n v="5"/>
    <n v="0.28999999999999998"/>
    <n v="0"/>
    <x v="24"/>
    <n v="0.95722713864306785"/>
    <n v="6.49"/>
  </r>
  <r>
    <x v="2"/>
    <d v="2025-01-14T00:00:00"/>
    <n v="8.56"/>
    <n v="8"/>
    <n v="0.3"/>
    <n v="0.56000000000000005"/>
    <x v="25"/>
    <n v="0.9649532710280373"/>
    <n v="8.26"/>
  </r>
  <r>
    <x v="4"/>
    <d v="2025-01-30T00:00:00"/>
    <n v="9.86"/>
    <n v="6"/>
    <n v="2.2400000000000002"/>
    <n v="1.86"/>
    <x v="26"/>
    <n v="0.77281947261663286"/>
    <n v="7.6199999999999992"/>
  </r>
  <r>
    <x v="2"/>
    <d v="2025-03-18T00:00:00"/>
    <n v="9.85"/>
    <n v="9"/>
    <n v="0.1"/>
    <n v="1.85"/>
    <x v="27"/>
    <n v="0.98984771573604069"/>
    <n v="9.75"/>
  </r>
  <r>
    <x v="2"/>
    <d v="2025-02-08T00:00:00"/>
    <n v="6.9"/>
    <n v="19"/>
    <n v="2.67"/>
    <n v="0"/>
    <x v="28"/>
    <n v="0.61304347826086958"/>
    <n v="4.2300000000000004"/>
  </r>
  <r>
    <x v="1"/>
    <d v="2025-02-12T00:00:00"/>
    <n v="9.7799999999999994"/>
    <n v="15"/>
    <n v="1.32"/>
    <n v="1.78"/>
    <x v="29"/>
    <n v="0.86503067484662577"/>
    <n v="8.4599999999999991"/>
  </r>
  <r>
    <x v="1"/>
    <d v="2025-02-10T00:00:00"/>
    <n v="9.48"/>
    <n v="9"/>
    <n v="2.38"/>
    <n v="1.48"/>
    <x v="30"/>
    <n v="0.74894514767932496"/>
    <n v="7.1000000000000005"/>
  </r>
  <r>
    <x v="1"/>
    <d v="2025-03-06T00:00:00"/>
    <n v="8.8699999999999992"/>
    <n v="23"/>
    <n v="2.0299999999999998"/>
    <n v="0.87"/>
    <x v="31"/>
    <n v="0.77113866967305533"/>
    <n v="6.84"/>
  </r>
  <r>
    <x v="2"/>
    <d v="2025-01-02T00:00:00"/>
    <n v="7.87"/>
    <n v="18"/>
    <n v="2.63"/>
    <n v="0"/>
    <x v="32"/>
    <n v="0.66581956797966968"/>
    <n v="5.24"/>
  </r>
  <r>
    <x v="1"/>
    <d v="2025-03-29T00:00:00"/>
    <n v="8.18"/>
    <n v="22"/>
    <n v="0.28999999999999998"/>
    <n v="0.18"/>
    <x v="33"/>
    <n v="0.96454767726161372"/>
    <n v="7.89"/>
  </r>
  <r>
    <x v="0"/>
    <d v="2025-02-25T00:00:00"/>
    <n v="9.82"/>
    <n v="23"/>
    <n v="2.16"/>
    <n v="1.82"/>
    <x v="34"/>
    <n v="0.78004073319755596"/>
    <n v="7.66"/>
  </r>
  <r>
    <x v="2"/>
    <d v="2025-02-14T00:00:00"/>
    <n v="7.23"/>
    <n v="9"/>
    <n v="1.51"/>
    <n v="0"/>
    <x v="35"/>
    <n v="0.79114799446749662"/>
    <n v="5.7200000000000006"/>
  </r>
  <r>
    <x v="0"/>
    <d v="2025-02-22T00:00:00"/>
    <n v="7.86"/>
    <n v="15"/>
    <n v="1.88"/>
    <n v="0"/>
    <x v="36"/>
    <n v="0.76081424936386766"/>
    <n v="5.98"/>
  </r>
  <r>
    <x v="1"/>
    <d v="2025-03-02T00:00:00"/>
    <n v="6.23"/>
    <n v="21"/>
    <n v="0.4"/>
    <n v="0"/>
    <x v="37"/>
    <n v="0.93579454253611549"/>
    <n v="5.83"/>
  </r>
  <r>
    <x v="2"/>
    <d v="2025-01-05T00:00:00"/>
    <n v="8.7899999999999991"/>
    <n v="13"/>
    <n v="1.49"/>
    <n v="0.79"/>
    <x v="38"/>
    <n v="0.83048919226393625"/>
    <n v="7.2999999999999989"/>
  </r>
  <r>
    <x v="2"/>
    <d v="2025-02-10T00:00:00"/>
    <n v="6.28"/>
    <n v="13"/>
    <n v="1.01"/>
    <n v="0"/>
    <x v="39"/>
    <n v="0.83917197452229308"/>
    <n v="5.2700000000000005"/>
  </r>
  <r>
    <x v="1"/>
    <d v="2025-02-04T00:00:00"/>
    <n v="8.4"/>
    <n v="15"/>
    <n v="1.9"/>
    <n v="0.4"/>
    <x v="23"/>
    <n v="0.77380952380952372"/>
    <n v="6.5"/>
  </r>
  <r>
    <x v="0"/>
    <d v="2025-02-14T00:00:00"/>
    <n v="6.19"/>
    <n v="22"/>
    <n v="0.18"/>
    <n v="0"/>
    <x v="40"/>
    <n v="0.97092084006462043"/>
    <n v="6.0100000000000007"/>
  </r>
  <r>
    <x v="3"/>
    <d v="2025-03-03T00:00:00"/>
    <n v="9"/>
    <n v="21"/>
    <n v="0.92"/>
    <n v="1"/>
    <x v="41"/>
    <n v="0.89777777777777779"/>
    <n v="8.08"/>
  </r>
  <r>
    <x v="3"/>
    <d v="2025-03-25T00:00:00"/>
    <n v="9.5399999999999991"/>
    <n v="14"/>
    <n v="2.88"/>
    <n v="1.54"/>
    <x v="42"/>
    <n v="0.69811320754716977"/>
    <n v="6.6599999999999993"/>
  </r>
  <r>
    <x v="3"/>
    <d v="2025-03-30T00:00:00"/>
    <n v="6.1"/>
    <n v="5"/>
    <n v="0.76"/>
    <n v="0"/>
    <x v="43"/>
    <n v="0.87540983606557377"/>
    <n v="5.34"/>
  </r>
  <r>
    <x v="2"/>
    <d v="2025-01-18T00:00:00"/>
    <n v="7.25"/>
    <n v="23"/>
    <n v="0.65"/>
    <n v="0"/>
    <x v="44"/>
    <n v="0.91034482758620683"/>
    <n v="6.6"/>
  </r>
  <r>
    <x v="2"/>
    <d v="2025-01-14T00:00:00"/>
    <n v="8.4"/>
    <n v="25"/>
    <n v="2.65"/>
    <n v="0.4"/>
    <x v="45"/>
    <n v="0.68452380952380953"/>
    <n v="5.75"/>
  </r>
  <r>
    <x v="0"/>
    <d v="2025-03-17T00:00:00"/>
    <n v="9.3000000000000007"/>
    <n v="17"/>
    <n v="1.95"/>
    <n v="1.3"/>
    <x v="46"/>
    <n v="0.79032258064516125"/>
    <n v="7.3500000000000005"/>
  </r>
  <r>
    <x v="4"/>
    <d v="2025-02-15T00:00:00"/>
    <n v="9.6300000000000008"/>
    <n v="24"/>
    <n v="0.97"/>
    <n v="1.63"/>
    <x v="47"/>
    <n v="0.89927310488058143"/>
    <n v="8.66"/>
  </r>
  <r>
    <x v="4"/>
    <d v="2025-01-03T00:00:00"/>
    <n v="6.18"/>
    <n v="17"/>
    <n v="1.35"/>
    <n v="0"/>
    <x v="48"/>
    <n v="0.78155339805825252"/>
    <n v="4.83"/>
  </r>
  <r>
    <x v="0"/>
    <d v="2025-03-27T00:00:00"/>
    <n v="7.73"/>
    <n v="11"/>
    <n v="1.48"/>
    <n v="0"/>
    <x v="49"/>
    <n v="0.80853816300129366"/>
    <n v="6.25"/>
  </r>
  <r>
    <x v="0"/>
    <d v="2025-03-10T00:00:00"/>
    <n v="7.63"/>
    <n v="9"/>
    <n v="7.0000000000000007E-2"/>
    <n v="0"/>
    <x v="50"/>
    <n v="0.99082568807339444"/>
    <n v="7.56"/>
  </r>
  <r>
    <x v="4"/>
    <d v="2025-02-07T00:00:00"/>
    <n v="8.08"/>
    <n v="16"/>
    <n v="2.2799999999999998"/>
    <n v="0.08"/>
    <x v="51"/>
    <n v="0.7178217821782179"/>
    <n v="5.8000000000000007"/>
  </r>
  <r>
    <x v="1"/>
    <d v="2025-02-18T00:00:00"/>
    <n v="7.99"/>
    <n v="23"/>
    <n v="1.78"/>
    <n v="0"/>
    <x v="52"/>
    <n v="0.77722152690863577"/>
    <n v="6.21"/>
  </r>
  <r>
    <x v="3"/>
    <d v="2025-01-28T00:00:00"/>
    <n v="7.81"/>
    <n v="22"/>
    <n v="2.5499999999999998"/>
    <n v="0"/>
    <x v="53"/>
    <n v="0.67349551856594114"/>
    <n v="5.26"/>
  </r>
  <r>
    <x v="3"/>
    <d v="2025-03-19T00:00:00"/>
    <n v="6.38"/>
    <n v="17"/>
    <n v="1.76"/>
    <n v="0"/>
    <x v="54"/>
    <n v="0.72413793103448276"/>
    <n v="4.62"/>
  </r>
  <r>
    <x v="1"/>
    <d v="2025-03-14T00:00:00"/>
    <n v="8.25"/>
    <n v="14"/>
    <n v="2.46"/>
    <n v="0.25"/>
    <x v="55"/>
    <n v="0.70181818181818179"/>
    <n v="5.79"/>
  </r>
  <r>
    <x v="0"/>
    <d v="2025-01-29T00:00:00"/>
    <n v="8.0299999999999994"/>
    <n v="21"/>
    <n v="0.12"/>
    <n v="0.03"/>
    <x v="56"/>
    <n v="0.98505603985056034"/>
    <n v="7.9099999999999993"/>
  </r>
  <r>
    <x v="0"/>
    <d v="2025-02-12T00:00:00"/>
    <n v="8.89"/>
    <n v="16"/>
    <n v="2.12"/>
    <n v="0.89"/>
    <x v="57"/>
    <n v="0.76152980877390331"/>
    <n v="6.7700000000000005"/>
  </r>
  <r>
    <x v="3"/>
    <d v="2025-01-06T00:00:00"/>
    <n v="8.4"/>
    <n v="17"/>
    <n v="1.48"/>
    <n v="0.4"/>
    <x v="58"/>
    <n v="0.82380952380952377"/>
    <n v="6.92"/>
  </r>
  <r>
    <x v="4"/>
    <d v="2025-03-04T00:00:00"/>
    <n v="8"/>
    <n v="12"/>
    <n v="2.82"/>
    <n v="0"/>
    <x v="59"/>
    <n v="0.64749999999999996"/>
    <n v="5.18"/>
  </r>
  <r>
    <x v="4"/>
    <d v="2025-03-06T00:00:00"/>
    <n v="6.46"/>
    <n v="5"/>
    <n v="1.1499999999999999"/>
    <n v="0"/>
    <x v="60"/>
    <n v="0.82198142414860687"/>
    <n v="5.3100000000000005"/>
  </r>
  <r>
    <x v="2"/>
    <d v="2025-01-07T00:00:00"/>
    <n v="7.57"/>
    <n v="23"/>
    <n v="2.4700000000000002"/>
    <n v="0"/>
    <x v="61"/>
    <n v="0.67371202113606332"/>
    <n v="5.0999999999999996"/>
  </r>
  <r>
    <x v="0"/>
    <d v="2025-01-25T00:00:00"/>
    <n v="6.71"/>
    <n v="19"/>
    <n v="0.67"/>
    <n v="0"/>
    <x v="62"/>
    <n v="0.90014903129657231"/>
    <n v="6.04"/>
  </r>
  <r>
    <x v="2"/>
    <d v="2025-02-19T00:00:00"/>
    <n v="9.84"/>
    <n v="17"/>
    <n v="1.49"/>
    <n v="1.84"/>
    <x v="63"/>
    <n v="0.84857723577235766"/>
    <n v="8.35"/>
  </r>
  <r>
    <x v="2"/>
    <d v="2025-03-11T00:00:00"/>
    <n v="9.58"/>
    <n v="16"/>
    <n v="1.74"/>
    <n v="1.58"/>
    <x v="64"/>
    <n v="0.81837160751565763"/>
    <n v="7.84"/>
  </r>
  <r>
    <x v="0"/>
    <d v="2025-03-05T00:00:00"/>
    <n v="7.09"/>
    <n v="18"/>
    <n v="2.7"/>
    <n v="0"/>
    <x v="65"/>
    <n v="0.61918194640338498"/>
    <n v="4.3899999999999997"/>
  </r>
  <r>
    <x v="0"/>
    <d v="2025-03-30T00:00:00"/>
    <n v="9.76"/>
    <n v="21"/>
    <n v="1.35"/>
    <n v="1.76"/>
    <x v="66"/>
    <n v="0.86168032786885251"/>
    <n v="8.41"/>
  </r>
  <r>
    <x v="2"/>
    <d v="2025-01-11T00:00:00"/>
    <n v="9.5399999999999991"/>
    <n v="25"/>
    <n v="0.94"/>
    <n v="1.54"/>
    <x v="67"/>
    <n v="0.90146750524109021"/>
    <n v="8.6"/>
  </r>
  <r>
    <x v="0"/>
    <d v="2025-03-28T00:00:00"/>
    <n v="7.12"/>
    <n v="22"/>
    <n v="0.13"/>
    <n v="0"/>
    <x v="68"/>
    <n v="0.9817415730337079"/>
    <n v="6.99"/>
  </r>
  <r>
    <x v="0"/>
    <d v="2025-03-31T00:00:00"/>
    <n v="8.9600000000000009"/>
    <n v="13"/>
    <n v="0.04"/>
    <n v="0.96"/>
    <x v="69"/>
    <n v="0.99553571428571441"/>
    <n v="8.9200000000000017"/>
  </r>
  <r>
    <x v="4"/>
    <d v="2025-03-11T00:00:00"/>
    <n v="7.69"/>
    <n v="14"/>
    <n v="1.28"/>
    <n v="0"/>
    <x v="70"/>
    <n v="0.83355006501950579"/>
    <n v="6.41"/>
  </r>
  <r>
    <x v="0"/>
    <d v="2025-03-04T00:00:00"/>
    <n v="8.4499999999999993"/>
    <n v="23"/>
    <n v="0.52"/>
    <n v="0.45"/>
    <x v="71"/>
    <n v="0.93846153846153846"/>
    <n v="7.93"/>
  </r>
  <r>
    <x v="0"/>
    <d v="2025-02-26T00:00:00"/>
    <n v="7.41"/>
    <n v="15"/>
    <n v="2.1800000000000002"/>
    <n v="0"/>
    <x v="72"/>
    <n v="0.7058029689608637"/>
    <n v="5.23"/>
  </r>
  <r>
    <x v="3"/>
    <d v="2025-01-28T00:00:00"/>
    <n v="6.37"/>
    <n v="22"/>
    <n v="0.47"/>
    <n v="0"/>
    <x v="73"/>
    <n v="0.92621664050235486"/>
    <n v="5.9"/>
  </r>
  <r>
    <x v="1"/>
    <d v="2025-03-20T00:00:00"/>
    <n v="7.37"/>
    <n v="20"/>
    <n v="1.83"/>
    <n v="0"/>
    <x v="74"/>
    <n v="0.75169606512890097"/>
    <n v="5.54"/>
  </r>
  <r>
    <x v="3"/>
    <d v="2025-02-04T00:00:00"/>
    <n v="7.19"/>
    <n v="22"/>
    <n v="0.23"/>
    <n v="0"/>
    <x v="75"/>
    <n v="0.96801112656467314"/>
    <n v="6.96"/>
  </r>
  <r>
    <x v="1"/>
    <d v="2025-01-31T00:00:00"/>
    <n v="6.79"/>
    <n v="22"/>
    <n v="2.7"/>
    <n v="0"/>
    <x v="76"/>
    <n v="0.60235640648011779"/>
    <n v="4.09"/>
  </r>
  <r>
    <x v="1"/>
    <d v="2025-01-18T00:00:00"/>
    <n v="7.53"/>
    <n v="15"/>
    <n v="0.05"/>
    <n v="0"/>
    <x v="77"/>
    <n v="0.99335989375830014"/>
    <n v="7.48"/>
  </r>
  <r>
    <x v="3"/>
    <d v="2025-03-19T00:00:00"/>
    <n v="7.46"/>
    <n v="17"/>
    <n v="0.13"/>
    <n v="0"/>
    <x v="78"/>
    <n v="0.98257372654155495"/>
    <n v="7.33"/>
  </r>
  <r>
    <x v="0"/>
    <d v="2025-01-22T00:00:00"/>
    <n v="7.88"/>
    <n v="17"/>
    <n v="0.54"/>
    <n v="0"/>
    <x v="79"/>
    <n v="0.93147208121827407"/>
    <n v="7.34"/>
  </r>
  <r>
    <x v="2"/>
    <d v="2025-03-22T00:00:00"/>
    <n v="8.25"/>
    <n v="19"/>
    <n v="0.43"/>
    <n v="0.25"/>
    <x v="80"/>
    <n v="0.94787878787878788"/>
    <n v="7.82"/>
  </r>
  <r>
    <x v="1"/>
    <d v="2025-01-13T00:00:00"/>
    <n v="7.25"/>
    <n v="18"/>
    <n v="2.2400000000000002"/>
    <n v="0"/>
    <x v="81"/>
    <n v="0.69103448275862067"/>
    <n v="5.01"/>
  </r>
  <r>
    <x v="0"/>
    <d v="2025-02-25T00:00:00"/>
    <n v="6.13"/>
    <n v="18"/>
    <n v="0.31"/>
    <n v="0"/>
    <x v="82"/>
    <n v="0.94942903752039154"/>
    <n v="5.82"/>
  </r>
  <r>
    <x v="4"/>
    <d v="2025-01-13T00:00:00"/>
    <n v="7.03"/>
    <n v="22"/>
    <n v="0.63"/>
    <n v="0"/>
    <x v="83"/>
    <n v="0.91038406827880514"/>
    <n v="6.4"/>
  </r>
  <r>
    <x v="1"/>
    <d v="2025-02-11T00:00:00"/>
    <n v="7.97"/>
    <n v="12"/>
    <n v="0.3"/>
    <n v="0"/>
    <x v="84"/>
    <n v="0.96235884567126728"/>
    <n v="7.67"/>
  </r>
  <r>
    <x v="0"/>
    <d v="2025-02-03T00:00:00"/>
    <n v="8.1199999999999992"/>
    <n v="22"/>
    <n v="1.98"/>
    <n v="0.12"/>
    <x v="85"/>
    <n v="0.7561576354679802"/>
    <n v="6.1399999999999988"/>
  </r>
  <r>
    <x v="0"/>
    <d v="2025-01-08T00:00:00"/>
    <n v="7.19"/>
    <n v="13"/>
    <n v="0.71"/>
    <n v="0"/>
    <x v="86"/>
    <n v="0.90125173852573015"/>
    <n v="6.48"/>
  </r>
  <r>
    <x v="3"/>
    <d v="2025-03-16T00:00:00"/>
    <n v="6.79"/>
    <n v="17"/>
    <n v="0.77"/>
    <n v="0"/>
    <x v="87"/>
    <n v="0.88659793814432986"/>
    <n v="6.02"/>
  </r>
  <r>
    <x v="2"/>
    <d v="2025-01-07T00:00:00"/>
    <n v="7.45"/>
    <n v="17"/>
    <n v="2.0299999999999998"/>
    <n v="0"/>
    <x v="88"/>
    <n v="0.72751677852348995"/>
    <n v="5.42"/>
  </r>
  <r>
    <x v="3"/>
    <d v="2025-02-16T00:00:00"/>
    <n v="7.23"/>
    <n v="5"/>
    <n v="2.35"/>
    <n v="0"/>
    <x v="89"/>
    <n v="0.6749654218533887"/>
    <n v="4.8800000000000008"/>
  </r>
  <r>
    <x v="2"/>
    <d v="2025-01-25T00:00:00"/>
    <n v="6.53"/>
    <n v="19"/>
    <n v="0.68"/>
    <n v="0"/>
    <x v="90"/>
    <n v="0.8958652373660031"/>
    <n v="5.8500000000000005"/>
  </r>
  <r>
    <x v="2"/>
    <d v="2025-02-01T00:00:00"/>
    <n v="8.34"/>
    <n v="5"/>
    <n v="0.39"/>
    <n v="0.34"/>
    <x v="91"/>
    <n v="0.95323741007194251"/>
    <n v="7.95"/>
  </r>
  <r>
    <x v="3"/>
    <d v="2025-02-12T00:00:00"/>
    <n v="9.9700000000000006"/>
    <n v="8"/>
    <n v="1.59"/>
    <n v="1.97"/>
    <x v="92"/>
    <n v="0.84052156469408223"/>
    <n v="8.3800000000000008"/>
  </r>
  <r>
    <x v="1"/>
    <d v="2025-03-03T00:00:00"/>
    <n v="7.42"/>
    <n v="18"/>
    <n v="1.31"/>
    <n v="0"/>
    <x v="93"/>
    <n v="0.82345013477088946"/>
    <n v="6.1099999999999994"/>
  </r>
  <r>
    <x v="1"/>
    <d v="2025-02-08T00:00:00"/>
    <n v="7.12"/>
    <n v="9"/>
    <n v="2.61"/>
    <n v="0"/>
    <x v="94"/>
    <n v="0.6334269662921348"/>
    <n v="4.51"/>
  </r>
  <r>
    <x v="2"/>
    <d v="2025-03-16T00:00:00"/>
    <n v="7.52"/>
    <n v="11"/>
    <n v="1.83"/>
    <n v="0"/>
    <x v="95"/>
    <n v="0.75664893617021278"/>
    <n v="5.6899999999999995"/>
  </r>
  <r>
    <x v="0"/>
    <d v="2025-03-22T00:00:00"/>
    <n v="7.29"/>
    <n v="23"/>
    <n v="2.88"/>
    <n v="0"/>
    <x v="96"/>
    <n v="0.60493827160493829"/>
    <n v="4.41"/>
  </r>
  <r>
    <x v="3"/>
    <d v="2025-03-23T00:00:00"/>
    <n v="8.15"/>
    <n v="9"/>
    <n v="2.75"/>
    <n v="0.15"/>
    <x v="97"/>
    <n v="0.66257668711656448"/>
    <n v="5.4"/>
  </r>
  <r>
    <x v="4"/>
    <d v="2025-01-31T00:00:00"/>
    <n v="6.52"/>
    <n v="17"/>
    <n v="0.05"/>
    <n v="0"/>
    <x v="98"/>
    <n v="0.99233128834355833"/>
    <n v="6.47"/>
  </r>
  <r>
    <x v="4"/>
    <d v="2025-02-02T00:00:00"/>
    <n v="6.89"/>
    <n v="9"/>
    <n v="2.2400000000000002"/>
    <n v="0"/>
    <x v="99"/>
    <n v="0.67489114658925975"/>
    <n v="4.6499999999999995"/>
  </r>
  <r>
    <x v="3"/>
    <d v="2025-01-06T00:00:00"/>
    <n v="9.74"/>
    <n v="25"/>
    <n v="1.52"/>
    <n v="1.74"/>
    <x v="100"/>
    <n v="0.84394250513347024"/>
    <n v="8.2200000000000006"/>
  </r>
  <r>
    <x v="0"/>
    <d v="2025-01-06T00:00:00"/>
    <n v="7.67"/>
    <n v="19"/>
    <n v="2.74"/>
    <n v="0"/>
    <x v="101"/>
    <n v="0.64276401564537156"/>
    <n v="4.93"/>
  </r>
  <r>
    <x v="3"/>
    <d v="2025-03-24T00:00:00"/>
    <n v="6.27"/>
    <n v="23"/>
    <n v="0.54"/>
    <n v="0"/>
    <x v="102"/>
    <n v="0.9138755980861244"/>
    <n v="5.7299999999999995"/>
  </r>
  <r>
    <x v="1"/>
    <d v="2025-03-10T00:00:00"/>
    <n v="6.14"/>
    <n v="7"/>
    <n v="1.6"/>
    <n v="0"/>
    <x v="103"/>
    <n v="0.73941368078175884"/>
    <n v="4.5399999999999991"/>
  </r>
  <r>
    <x v="2"/>
    <d v="2025-03-18T00:00:00"/>
    <n v="7.26"/>
    <n v="6"/>
    <n v="2.48"/>
    <n v="0"/>
    <x v="104"/>
    <n v="0.65840220385674919"/>
    <n v="4.7799999999999994"/>
  </r>
  <r>
    <x v="1"/>
    <d v="2025-03-14T00:00:00"/>
    <n v="8.43"/>
    <n v="14"/>
    <n v="0.56999999999999995"/>
    <n v="0.43"/>
    <x v="105"/>
    <n v="0.93238434163701067"/>
    <n v="7.8599999999999994"/>
  </r>
  <r>
    <x v="0"/>
    <d v="2025-03-02T00:00:00"/>
    <n v="9.6300000000000008"/>
    <n v="22"/>
    <n v="0.54"/>
    <n v="1.63"/>
    <x v="106"/>
    <n v="0.9439252336448597"/>
    <n v="9.09"/>
  </r>
  <r>
    <x v="4"/>
    <d v="2025-02-12T00:00:00"/>
    <n v="8.26"/>
    <n v="14"/>
    <n v="1.46"/>
    <n v="0.26"/>
    <x v="107"/>
    <n v="0.82324455205811142"/>
    <n v="6.8"/>
  </r>
  <r>
    <x v="4"/>
    <d v="2025-03-22T00:00:00"/>
    <n v="9.9700000000000006"/>
    <n v="10"/>
    <n v="0.16"/>
    <n v="1.97"/>
    <x v="108"/>
    <n v="0.98395185556670006"/>
    <n v="9.81"/>
  </r>
  <r>
    <x v="1"/>
    <d v="2025-02-09T00:00:00"/>
    <n v="8.94"/>
    <n v="19"/>
    <n v="2.57"/>
    <n v="0.94"/>
    <x v="109"/>
    <n v="0.71252796420581654"/>
    <n v="6.3699999999999992"/>
  </r>
  <r>
    <x v="3"/>
    <d v="2025-02-14T00:00:00"/>
    <n v="6.24"/>
    <n v="9"/>
    <n v="2.48"/>
    <n v="0"/>
    <x v="110"/>
    <n v="0.60256410256410253"/>
    <n v="3.7600000000000002"/>
  </r>
  <r>
    <x v="2"/>
    <d v="2025-02-20T00:00:00"/>
    <n v="7.04"/>
    <n v="15"/>
    <n v="0.32"/>
    <n v="0"/>
    <x v="111"/>
    <n v="0.95454545454545447"/>
    <n v="6.72"/>
  </r>
  <r>
    <x v="4"/>
    <d v="2025-03-14T00:00:00"/>
    <n v="8.93"/>
    <n v="12"/>
    <n v="2.54"/>
    <n v="0.93"/>
    <x v="112"/>
    <n v="0.71556550951847708"/>
    <n v="6.39"/>
  </r>
  <r>
    <x v="0"/>
    <d v="2025-03-20T00:00:00"/>
    <n v="9.14"/>
    <n v="24"/>
    <n v="2.77"/>
    <n v="1.1399999999999999"/>
    <x v="113"/>
    <n v="0.69693654266958427"/>
    <n v="6.370000000000001"/>
  </r>
  <r>
    <x v="3"/>
    <d v="2025-01-21T00:00:00"/>
    <n v="8.02"/>
    <n v="8"/>
    <n v="0.89"/>
    <n v="0.02"/>
    <x v="114"/>
    <n v="0.88902743142144647"/>
    <n v="7.13"/>
  </r>
  <r>
    <x v="2"/>
    <d v="2025-03-30T00:00:00"/>
    <n v="9.44"/>
    <n v="16"/>
    <n v="1.49"/>
    <n v="1.44"/>
    <x v="107"/>
    <n v="0.84216101694915246"/>
    <n v="7.9499999999999993"/>
  </r>
  <r>
    <x v="2"/>
    <d v="2025-01-08T00:00:00"/>
    <n v="8.0500000000000007"/>
    <n v="16"/>
    <n v="0.51"/>
    <n v="0.05"/>
    <x v="115"/>
    <n v="0.93664596273291933"/>
    <n v="7.5400000000000009"/>
  </r>
  <r>
    <x v="2"/>
    <d v="2025-04-01T00:00:00"/>
    <n v="6.54"/>
    <n v="25"/>
    <n v="0.08"/>
    <n v="0"/>
    <x v="116"/>
    <n v="0.98776758409785936"/>
    <n v="6.46"/>
  </r>
  <r>
    <x v="1"/>
    <d v="2025-01-10T00:00:00"/>
    <n v="7.5"/>
    <n v="13"/>
    <n v="0.54"/>
    <n v="0"/>
    <x v="117"/>
    <n v="0.92800000000000005"/>
    <n v="6.96"/>
  </r>
  <r>
    <x v="4"/>
    <d v="2025-01-17T00:00:00"/>
    <n v="7.24"/>
    <n v="20"/>
    <n v="0.54"/>
    <n v="0"/>
    <x v="118"/>
    <n v="0.925414364640884"/>
    <n v="6.7"/>
  </r>
  <r>
    <x v="4"/>
    <d v="2025-03-28T00:00:00"/>
    <n v="8.7200000000000006"/>
    <n v="17"/>
    <n v="0.34"/>
    <n v="0.72"/>
    <x v="119"/>
    <n v="0.96100917431192667"/>
    <n v="8.3800000000000008"/>
  </r>
  <r>
    <x v="0"/>
    <d v="2025-02-24T00:00:00"/>
    <n v="6.28"/>
    <n v="22"/>
    <n v="1.91"/>
    <n v="0"/>
    <x v="120"/>
    <n v="0.69585987261146498"/>
    <n v="4.37"/>
  </r>
  <r>
    <x v="3"/>
    <d v="2025-02-09T00:00:00"/>
    <n v="9.6199999999999992"/>
    <n v="10"/>
    <n v="1.1000000000000001"/>
    <n v="1.62"/>
    <x v="121"/>
    <n v="0.8856548856548857"/>
    <n v="8.52"/>
  </r>
  <r>
    <x v="4"/>
    <d v="2025-03-23T00:00:00"/>
    <n v="6.11"/>
    <n v="14"/>
    <n v="2.86"/>
    <n v="0"/>
    <x v="122"/>
    <n v="0.53191489361702127"/>
    <n v="3.2500000000000004"/>
  </r>
  <r>
    <x v="2"/>
    <d v="2025-02-11T00:00:00"/>
    <n v="6.18"/>
    <n v="21"/>
    <n v="0.56000000000000005"/>
    <n v="0"/>
    <x v="123"/>
    <n v="0.90938511326860838"/>
    <n v="5.6199999999999992"/>
  </r>
  <r>
    <x v="0"/>
    <d v="2025-01-21T00:00:00"/>
    <n v="9.06"/>
    <n v="17"/>
    <n v="0.68"/>
    <n v="1.06"/>
    <x v="124"/>
    <n v="0.92494481236203097"/>
    <n v="8.3800000000000008"/>
  </r>
  <r>
    <x v="4"/>
    <d v="2025-03-20T00:00:00"/>
    <n v="8.91"/>
    <n v="21"/>
    <n v="1.41"/>
    <n v="0.91"/>
    <x v="125"/>
    <n v="0.84175084175084169"/>
    <n v="7.5"/>
  </r>
  <r>
    <x v="2"/>
    <d v="2025-01-22T00:00:00"/>
    <n v="6.2"/>
    <n v="5"/>
    <n v="2.38"/>
    <n v="0"/>
    <x v="126"/>
    <n v="0.61612903225806459"/>
    <n v="3.8200000000000003"/>
  </r>
  <r>
    <x v="3"/>
    <d v="2025-01-26T00:00:00"/>
    <n v="7.13"/>
    <n v="16"/>
    <n v="2.57"/>
    <n v="0"/>
    <x v="127"/>
    <n v="0.63955119214586265"/>
    <n v="4.5600000000000005"/>
  </r>
  <r>
    <x v="0"/>
    <d v="2025-02-25T00:00:00"/>
    <n v="6.86"/>
    <n v="16"/>
    <n v="0.64"/>
    <n v="0"/>
    <x v="128"/>
    <n v="0.90670553935860065"/>
    <n v="6.2200000000000006"/>
  </r>
  <r>
    <x v="2"/>
    <d v="2025-03-17T00:00:00"/>
    <n v="7.22"/>
    <n v="5"/>
    <n v="1.6"/>
    <n v="0"/>
    <x v="129"/>
    <n v="0.77839335180055391"/>
    <n v="5.6199999999999992"/>
  </r>
  <r>
    <x v="1"/>
    <d v="2025-01-10T00:00:00"/>
    <n v="7.56"/>
    <n v="9"/>
    <n v="0.09"/>
    <n v="0"/>
    <x v="130"/>
    <n v="0.98809523809523814"/>
    <n v="7.47"/>
  </r>
  <r>
    <x v="1"/>
    <d v="2025-02-25T00:00:00"/>
    <n v="7.38"/>
    <n v="9"/>
    <n v="0.26"/>
    <n v="0"/>
    <x v="131"/>
    <n v="0.964769647696477"/>
    <n v="7.12"/>
  </r>
  <r>
    <x v="0"/>
    <d v="2025-01-18T00:00:00"/>
    <n v="9.67"/>
    <n v="19"/>
    <n v="1.63"/>
    <n v="1.67"/>
    <x v="132"/>
    <n v="0.83143743536711467"/>
    <n v="8.0399999999999991"/>
  </r>
  <r>
    <x v="4"/>
    <d v="2025-03-06T00:00:00"/>
    <n v="6.63"/>
    <n v="6"/>
    <n v="1.37"/>
    <n v="0"/>
    <x v="133"/>
    <n v="0.79336349924585214"/>
    <n v="5.26"/>
  </r>
  <r>
    <x v="1"/>
    <d v="2025-01-30T00:00:00"/>
    <n v="7.58"/>
    <n v="6"/>
    <n v="2.09"/>
    <n v="0"/>
    <x v="134"/>
    <n v="0.72427440633245388"/>
    <n v="5.49"/>
  </r>
  <r>
    <x v="0"/>
    <d v="2025-02-03T00:00:00"/>
    <n v="7.83"/>
    <n v="17"/>
    <n v="1.28"/>
    <n v="0"/>
    <x v="135"/>
    <n v="0.83652618135376755"/>
    <n v="6.55"/>
  </r>
  <r>
    <x v="1"/>
    <d v="2025-03-30T00:00:00"/>
    <n v="9.77"/>
    <n v="24"/>
    <n v="0.16"/>
    <n v="1.77"/>
    <x v="136"/>
    <n v="0.98362333674513813"/>
    <n v="9.61"/>
  </r>
  <r>
    <x v="3"/>
    <d v="2025-01-21T00:00:00"/>
    <n v="8.32"/>
    <n v="7"/>
    <n v="0.96"/>
    <n v="0.32"/>
    <x v="137"/>
    <n v="0.88461538461538458"/>
    <n v="7.36"/>
  </r>
  <r>
    <x v="2"/>
    <d v="2025-03-08T00:00:00"/>
    <n v="9.6199999999999992"/>
    <n v="24"/>
    <n v="1.2"/>
    <n v="1.62"/>
    <x v="138"/>
    <n v="0.87525987525987536"/>
    <n v="8.42"/>
  </r>
  <r>
    <x v="1"/>
    <d v="2025-03-09T00:00:00"/>
    <n v="6.66"/>
    <n v="21"/>
    <n v="1.22"/>
    <n v="0"/>
    <x v="139"/>
    <n v="0.81681681681681684"/>
    <n v="5.44"/>
  </r>
  <r>
    <x v="3"/>
    <d v="2025-01-31T00:00:00"/>
    <n v="7.75"/>
    <n v="20"/>
    <n v="2.12"/>
    <n v="0"/>
    <x v="140"/>
    <n v="0.7264516129032258"/>
    <n v="5.63"/>
  </r>
  <r>
    <x v="1"/>
    <d v="2025-03-04T00:00:00"/>
    <n v="9.5500000000000007"/>
    <n v="17"/>
    <n v="0.68"/>
    <n v="1.55"/>
    <x v="141"/>
    <n v="0.92879581151832469"/>
    <n v="8.870000000000001"/>
  </r>
  <r>
    <x v="0"/>
    <d v="2025-03-16T00:00:00"/>
    <n v="6.25"/>
    <n v="10"/>
    <n v="2.11"/>
    <n v="0"/>
    <x v="142"/>
    <n v="0.6624000000000001"/>
    <n v="4.1400000000000006"/>
  </r>
  <r>
    <x v="2"/>
    <d v="2025-01-07T00:00:00"/>
    <n v="9.91"/>
    <n v="7"/>
    <n v="2.2999999999999998"/>
    <n v="1.91"/>
    <x v="143"/>
    <n v="0.76791120080726538"/>
    <n v="7.61"/>
  </r>
  <r>
    <x v="1"/>
    <d v="2025-01-12T00:00:00"/>
    <n v="9.34"/>
    <n v="24"/>
    <n v="2.46"/>
    <n v="1.34"/>
    <x v="144"/>
    <n v="0.7366167023554604"/>
    <n v="6.88"/>
  </r>
  <r>
    <x v="2"/>
    <d v="2025-02-01T00:00:00"/>
    <n v="9.82"/>
    <n v="9"/>
    <n v="2.9"/>
    <n v="1.82"/>
    <x v="145"/>
    <n v="0.70468431771894091"/>
    <n v="6.92"/>
  </r>
  <r>
    <x v="0"/>
    <d v="2025-03-05T00:00:00"/>
    <n v="9.8699999999999992"/>
    <n v="13"/>
    <n v="1.88"/>
    <n v="1.87"/>
    <x v="146"/>
    <n v="0.80952380952380953"/>
    <n v="7.9899999999999993"/>
  </r>
  <r>
    <x v="2"/>
    <d v="2025-03-26T00:00:00"/>
    <n v="8.75"/>
    <n v="25"/>
    <n v="0.31"/>
    <n v="0.75"/>
    <x v="147"/>
    <n v="0.96457142857142852"/>
    <n v="8.44"/>
  </r>
  <r>
    <x v="0"/>
    <d v="2025-02-28T00:00:00"/>
    <n v="8.7100000000000009"/>
    <n v="15"/>
    <n v="2.5"/>
    <n v="0.71"/>
    <x v="148"/>
    <n v="0.71297359357060852"/>
    <n v="6.2100000000000009"/>
  </r>
  <r>
    <x v="1"/>
    <d v="2025-02-05T00:00:00"/>
    <n v="6.96"/>
    <n v="23"/>
    <n v="2.95"/>
    <n v="0"/>
    <x v="149"/>
    <n v="0.57614942528735624"/>
    <n v="4.01"/>
  </r>
  <r>
    <x v="0"/>
    <d v="2025-03-21T00:00:00"/>
    <n v="9.86"/>
    <n v="21"/>
    <n v="2.94"/>
    <n v="1.86"/>
    <x v="150"/>
    <n v="0.70182555780933065"/>
    <n v="6.92"/>
  </r>
  <r>
    <x v="4"/>
    <d v="2025-01-01T00:00:00"/>
    <n v="6.25"/>
    <n v="17"/>
    <n v="1.25"/>
    <n v="0"/>
    <x v="151"/>
    <n v="0.8"/>
    <n v="5"/>
  </r>
  <r>
    <x v="0"/>
    <d v="2025-01-27T00:00:00"/>
    <n v="8.91"/>
    <n v="25"/>
    <n v="2.78"/>
    <n v="0.91"/>
    <x v="152"/>
    <n v="0.68799102132435475"/>
    <n v="6.1300000000000008"/>
  </r>
  <r>
    <x v="0"/>
    <d v="2025-03-24T00:00:00"/>
    <n v="9.2100000000000009"/>
    <n v="19"/>
    <n v="1.4"/>
    <n v="1.21"/>
    <x v="153"/>
    <n v="0.84799131378935932"/>
    <n v="7.8100000000000005"/>
  </r>
  <r>
    <x v="2"/>
    <d v="2025-03-12T00:00:00"/>
    <n v="9.3699999999999992"/>
    <n v="8"/>
    <n v="2.64"/>
    <n v="1.37"/>
    <x v="154"/>
    <n v="0.71824973319103513"/>
    <n v="6.7299999999999986"/>
  </r>
  <r>
    <x v="1"/>
    <d v="2025-01-16T00:00:00"/>
    <n v="6.81"/>
    <n v="14"/>
    <n v="2.54"/>
    <n v="0"/>
    <x v="155"/>
    <n v="0.62701908957415564"/>
    <n v="4.2699999999999996"/>
  </r>
  <r>
    <x v="1"/>
    <d v="2025-02-13T00:00:00"/>
    <n v="8.17"/>
    <n v="24"/>
    <n v="2.58"/>
    <n v="0.17"/>
    <x v="156"/>
    <n v="0.68421052631578949"/>
    <n v="5.59"/>
  </r>
  <r>
    <x v="1"/>
    <d v="2025-01-16T00:00:00"/>
    <n v="7.82"/>
    <n v="13"/>
    <n v="2.02"/>
    <n v="0"/>
    <x v="157"/>
    <n v="0.74168797953964205"/>
    <n v="5.8000000000000007"/>
  </r>
  <r>
    <x v="1"/>
    <d v="2025-02-28T00:00:00"/>
    <n v="7.91"/>
    <n v="8"/>
    <n v="1.1499999999999999"/>
    <n v="0"/>
    <x v="158"/>
    <n v="0.85461441213653599"/>
    <n v="6.76"/>
  </r>
  <r>
    <x v="3"/>
    <d v="2025-03-03T00:00:00"/>
    <n v="7.11"/>
    <n v="10"/>
    <n v="2.02"/>
    <n v="0"/>
    <x v="159"/>
    <n v="0.71589310829817154"/>
    <n v="5.09"/>
  </r>
  <r>
    <x v="4"/>
    <d v="2025-03-11T00:00:00"/>
    <n v="8.1999999999999993"/>
    <n v="5"/>
    <n v="1.24"/>
    <n v="0.2"/>
    <x v="160"/>
    <n v="0.84878048780487803"/>
    <n v="6.9599999999999991"/>
  </r>
  <r>
    <x v="3"/>
    <d v="2025-01-25T00:00:00"/>
    <n v="8.48"/>
    <n v="21"/>
    <n v="0.89"/>
    <n v="0.48"/>
    <x v="161"/>
    <n v="0.89504716981132082"/>
    <n v="7.5900000000000007"/>
  </r>
  <r>
    <x v="3"/>
    <d v="2025-02-18T00:00:00"/>
    <n v="9.66"/>
    <n v="15"/>
    <n v="1.77"/>
    <n v="1.66"/>
    <x v="162"/>
    <n v="0.81677018633540377"/>
    <n v="7.8900000000000006"/>
  </r>
  <r>
    <x v="4"/>
    <d v="2025-02-08T00:00:00"/>
    <n v="9.83"/>
    <n v="16"/>
    <n v="2.89"/>
    <n v="1.83"/>
    <x v="163"/>
    <n v="0.70600203458799593"/>
    <n v="6.9399999999999995"/>
  </r>
  <r>
    <x v="1"/>
    <d v="2025-03-07T00:00:00"/>
    <n v="8.57"/>
    <n v="13"/>
    <n v="2.19"/>
    <n v="0.56999999999999995"/>
    <x v="164"/>
    <n v="0.74445740956826145"/>
    <n v="6.3800000000000008"/>
  </r>
  <r>
    <x v="2"/>
    <d v="2025-03-07T00:00:00"/>
    <n v="6.25"/>
    <n v="23"/>
    <n v="2.19"/>
    <n v="0"/>
    <x v="165"/>
    <n v="0.64960000000000007"/>
    <n v="4.0600000000000005"/>
  </r>
  <r>
    <x v="1"/>
    <d v="2025-02-18T00:00:00"/>
    <n v="7.71"/>
    <n v="20"/>
    <n v="1.72"/>
    <n v="0"/>
    <x v="166"/>
    <n v="0.77691309987029833"/>
    <n v="5.99"/>
  </r>
  <r>
    <x v="1"/>
    <d v="2025-02-18T00:00:00"/>
    <n v="9.35"/>
    <n v="9"/>
    <n v="0.79"/>
    <n v="1.35"/>
    <x v="167"/>
    <n v="0.91550802139037424"/>
    <n v="8.5599999999999987"/>
  </r>
  <r>
    <x v="1"/>
    <d v="2025-01-23T00:00:00"/>
    <n v="8.35"/>
    <n v="17"/>
    <n v="2.65"/>
    <n v="0.35"/>
    <x v="168"/>
    <n v="0.6826347305389221"/>
    <n v="5.6999999999999993"/>
  </r>
  <r>
    <x v="4"/>
    <d v="2025-01-12T00:00:00"/>
    <n v="8.35"/>
    <n v="16"/>
    <n v="0.08"/>
    <n v="0.35"/>
    <x v="169"/>
    <n v="0.99041916167664668"/>
    <n v="8.27"/>
  </r>
  <r>
    <x v="1"/>
    <d v="2025-02-16T00:00:00"/>
    <n v="9.01"/>
    <n v="18"/>
    <n v="1.86"/>
    <n v="1.01"/>
    <x v="170"/>
    <n v="0.79356270810210872"/>
    <n v="7.1499999999999995"/>
  </r>
  <r>
    <x v="3"/>
    <d v="2025-01-08T00:00:00"/>
    <n v="9.07"/>
    <n v="9"/>
    <n v="1.38"/>
    <n v="1.07"/>
    <x v="171"/>
    <n v="0.84785005512679168"/>
    <n v="7.69"/>
  </r>
  <r>
    <x v="1"/>
    <d v="2025-01-28T00:00:00"/>
    <n v="9.98"/>
    <n v="6"/>
    <n v="1.8"/>
    <n v="1.98"/>
    <x v="172"/>
    <n v="0.81963927855711416"/>
    <n v="8.18"/>
  </r>
  <r>
    <x v="1"/>
    <d v="2025-01-13T00:00:00"/>
    <n v="9.51"/>
    <n v="10"/>
    <n v="1.88"/>
    <n v="1.51"/>
    <x v="173"/>
    <n v="0.80231335436382756"/>
    <n v="7.63"/>
  </r>
  <r>
    <x v="2"/>
    <d v="2025-02-15T00:00:00"/>
    <n v="6.63"/>
    <n v="9"/>
    <n v="1.85"/>
    <n v="0"/>
    <x v="174"/>
    <n v="0.7209653092006032"/>
    <n v="4.7799999999999994"/>
  </r>
  <r>
    <x v="0"/>
    <d v="2025-02-21T00:00:00"/>
    <n v="6.49"/>
    <n v="17"/>
    <n v="0.75"/>
    <n v="0"/>
    <x v="175"/>
    <n v="0.88443759630200314"/>
    <n v="5.74"/>
  </r>
  <r>
    <x v="1"/>
    <d v="2025-01-22T00:00:00"/>
    <n v="6.7"/>
    <n v="20"/>
    <n v="0.74"/>
    <n v="0"/>
    <x v="176"/>
    <n v="0.88955223880597012"/>
    <n v="5.96"/>
  </r>
  <r>
    <x v="4"/>
    <d v="2025-03-12T00:00:00"/>
    <n v="9.42"/>
    <n v="6"/>
    <n v="0.74"/>
    <n v="1.42"/>
    <x v="177"/>
    <n v="0.92144373673036095"/>
    <n v="8.68"/>
  </r>
  <r>
    <x v="2"/>
    <d v="2025-02-12T00:00:00"/>
    <n v="8.33"/>
    <n v="19"/>
    <n v="1.59"/>
    <n v="0.33"/>
    <x v="178"/>
    <n v="0.80912364945978388"/>
    <n v="6.74"/>
  </r>
  <r>
    <x v="1"/>
    <d v="2025-01-09T00:00:00"/>
    <n v="9.4700000000000006"/>
    <n v="24"/>
    <n v="1.21"/>
    <n v="1.47"/>
    <x v="179"/>
    <n v="0.87222808870116164"/>
    <n v="8.2600000000000016"/>
  </r>
  <r>
    <x v="3"/>
    <d v="2025-03-01T00:00:00"/>
    <n v="9.99"/>
    <n v="20"/>
    <n v="0.25"/>
    <n v="1.99"/>
    <x v="180"/>
    <n v="0.97497497497497498"/>
    <n v="9.74"/>
  </r>
  <r>
    <x v="4"/>
    <d v="2025-03-24T00:00:00"/>
    <n v="8.39"/>
    <n v="5"/>
    <n v="2.68"/>
    <n v="0.39"/>
    <x v="181"/>
    <n v="0.68057210965435044"/>
    <n v="5.7100000000000009"/>
  </r>
  <r>
    <x v="1"/>
    <d v="2025-02-04T00:00:00"/>
    <n v="6.52"/>
    <n v="13"/>
    <n v="2.85"/>
    <n v="0"/>
    <x v="182"/>
    <n v="0.56288343558282206"/>
    <n v="3.6699999999999995"/>
  </r>
  <r>
    <x v="3"/>
    <d v="2025-03-06T00:00:00"/>
    <n v="6.64"/>
    <n v="10"/>
    <n v="2.2000000000000002"/>
    <n v="0"/>
    <x v="183"/>
    <n v="0.66867469879518071"/>
    <n v="4.4399999999999995"/>
  </r>
  <r>
    <x v="0"/>
    <d v="2025-03-14T00:00:00"/>
    <n v="9.16"/>
    <n v="7"/>
    <n v="1.76"/>
    <n v="1.1599999999999999"/>
    <x v="184"/>
    <n v="0.80786026200873362"/>
    <n v="7.4"/>
  </r>
  <r>
    <x v="4"/>
    <d v="2025-02-17T00:00:00"/>
    <n v="8.93"/>
    <n v="5"/>
    <n v="2.69"/>
    <n v="0.93"/>
    <x v="185"/>
    <n v="0.69876819708846594"/>
    <n v="6.24"/>
  </r>
  <r>
    <x v="1"/>
    <d v="2025-01-06T00:00:00"/>
    <n v="8.1"/>
    <n v="20"/>
    <n v="1.1000000000000001"/>
    <n v="0.1"/>
    <x v="186"/>
    <n v="0.86419753086419759"/>
    <n v="7"/>
  </r>
  <r>
    <x v="3"/>
    <d v="2025-03-26T00:00:00"/>
    <n v="7.76"/>
    <n v="25"/>
    <n v="0.96"/>
    <n v="0"/>
    <x v="187"/>
    <n v="0.87628865979381443"/>
    <n v="6.8"/>
  </r>
  <r>
    <x v="0"/>
    <d v="2025-01-03T00:00:00"/>
    <n v="9.02"/>
    <n v="15"/>
    <n v="2.97"/>
    <n v="1.02"/>
    <x v="18"/>
    <n v="0.6707317073170731"/>
    <n v="6.0499999999999989"/>
  </r>
  <r>
    <x v="2"/>
    <d v="2025-03-22T00:00:00"/>
    <n v="6.35"/>
    <n v="25"/>
    <n v="0.65"/>
    <n v="0"/>
    <x v="188"/>
    <n v="0.89763779527559051"/>
    <n v="5.6999999999999993"/>
  </r>
  <r>
    <x v="4"/>
    <d v="2025-02-21T00:00:00"/>
    <n v="8.4"/>
    <n v="17"/>
    <n v="1.87"/>
    <n v="0.4"/>
    <x v="58"/>
    <n v="0.77738095238095239"/>
    <n v="6.53"/>
  </r>
  <r>
    <x v="2"/>
    <d v="2025-03-15T00:00:00"/>
    <n v="8.93"/>
    <n v="9"/>
    <n v="2.27"/>
    <n v="0.93"/>
    <x v="189"/>
    <n v="0.74580067189249721"/>
    <n v="6.66"/>
  </r>
  <r>
    <x v="2"/>
    <d v="2025-03-23T00:00:00"/>
    <n v="6.2"/>
    <n v="20"/>
    <n v="0.41"/>
    <n v="0"/>
    <x v="190"/>
    <n v="0.93387096774193545"/>
    <n v="5.79"/>
  </r>
  <r>
    <x v="3"/>
    <d v="2025-03-19T00:00:00"/>
    <n v="8.16"/>
    <n v="14"/>
    <n v="1.9"/>
    <n v="0.16"/>
    <x v="191"/>
    <n v="0.76715686274509798"/>
    <n v="6.26"/>
  </r>
  <r>
    <x v="0"/>
    <d v="2025-03-04T00:00:00"/>
    <n v="6.49"/>
    <n v="22"/>
    <n v="2.4"/>
    <n v="0"/>
    <x v="192"/>
    <n v="0.63020030816640982"/>
    <n v="4.09"/>
  </r>
  <r>
    <x v="2"/>
    <d v="2025-01-26T00:00:00"/>
    <n v="8.3800000000000008"/>
    <n v="7"/>
    <n v="2.41"/>
    <n v="0.38"/>
    <x v="193"/>
    <n v="0.71241050119331739"/>
    <n v="5.9700000000000006"/>
  </r>
  <r>
    <x v="0"/>
    <d v="2025-02-28T00:00:00"/>
    <n v="9.92"/>
    <n v="17"/>
    <n v="2.89"/>
    <n v="1.92"/>
    <x v="194"/>
    <n v="0.70866935483870963"/>
    <n v="7.0299999999999994"/>
  </r>
  <r>
    <x v="2"/>
    <d v="2025-03-16T00:00:00"/>
    <n v="7.75"/>
    <n v="13"/>
    <n v="1.99"/>
    <n v="0"/>
    <x v="195"/>
    <n v="0.74322580645161285"/>
    <n v="5.76"/>
  </r>
  <r>
    <x v="5"/>
    <m/>
    <m/>
    <m/>
    <m/>
    <m/>
    <x v="19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8C0C6-77B1-4240-81EB-1783A2F4BECF}" name="PivotTable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t" colHeaderCaption="SLA Met">
  <location ref="A33:B39" firstHeaderRow="1" firstDataRow="1" firstDataCol="1"/>
  <pivotFields count="16">
    <pivotField showAll="0"/>
    <pivotField numFmtId="14" showAll="0"/>
    <pivotField numFmtId="14"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Row" showAll="0" sortType="ascending">
      <items count="6">
        <item x="2"/>
        <item x="4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ctual Resolution Time (hrs)" fld="8" subtotal="average" baseField="5" baseItem="0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51C68-288D-4E82-BAF7-AB896B6A7B86}" name="PivotTable1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 colHeaderCaption="SLA Met">
  <location ref="A54:B59" firstHeaderRow="1" firstDataRow="1" firstDataCol="1"/>
  <pivotFields count="16">
    <pivotField dataField="1" showAll="0"/>
    <pivotField numFmtId="14" showAll="0"/>
    <pivotField numFmtId="14"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 ID" fld="0" subtotal="count" baseField="0" baseItem="0"/>
  </dataFields>
  <formats count="1">
    <format dxfId="30">
      <pivotArea outline="0" collapsedLevelsAreSubtotals="1" fieldPosition="0"/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233A1-1EE6-4AE7-AE94-FA67BB923A5B}" name="PivotTable7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 colHeaderCaption="SLA Met">
  <location ref="A23:B28" firstHeaderRow="1" firstDataRow="1" firstDataCol="1"/>
  <pivotFields count="16">
    <pivotField showAll="0"/>
    <pivotField numFmtId="14" showAll="0"/>
    <pivotField numFmtId="14"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 Resolution Time (hrs)" fld="8" subtotal="average" baseField="4" baseItem="1" numFmtId="2"/>
  </dataFields>
  <formats count="2">
    <format dxfId="32">
      <pivotArea collapsedLevelsAreSubtotals="1" fieldPosition="0">
        <references count="1">
          <reference field="4" count="0"/>
        </references>
      </pivotArea>
    </format>
    <format dxfId="3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57169-7045-481B-8D75-8CE8D69CB8EA}" name="PivotTable16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94:B98" firstHeaderRow="1" firstDataRow="1" firstDataCol="1"/>
  <pivotFields count="16">
    <pivotField dataField="1" showAll="0"/>
    <pivotField numFmtId="14"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AA7F5-D9A2-403E-9894-B7510B78B287}" name="PivotTable6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ority" colHeaderCaption="SLA Met">
  <location ref="A12:D18" firstHeaderRow="1" firstDataRow="2" firstDataCol="1"/>
  <pivotFields count="16">
    <pivotField dataField="1" showAll="0"/>
    <pivotField numFmtId="14" showAll="0"/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Tickets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503A9-65FD-4D1D-9F22-537F84B48154}" name="PivotTable1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nt" colHeaderCaption="SLA Met">
  <location ref="A64:B70" firstHeaderRow="1" firstDataRow="1" firstDataCol="1"/>
  <pivotFields count="16">
    <pivotField dataField="1" showAll="0"/>
    <pivotField numFmtId="14" showAll="0"/>
    <pivotField numFmtId="14"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 ID" fld="0" subtotal="count" baseField="0" baseItem="0"/>
  </dataFields>
  <formats count="1">
    <format dxfId="33">
      <pivotArea outline="0" collapsedLevelsAreSubtotals="1" fieldPosition="0"/>
    </format>
  </format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259B6-6722-4F50-BCDF-6A43BEB00381}" name="PivotTable1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Agent" colHeaderCaption="SLA Met">
  <location ref="A74:D80" firstHeaderRow="0" firstDataRow="1" firstDataCol="1"/>
  <pivotFields count="9">
    <pivotField axis="axisRow" showAll="0">
      <items count="7">
        <item x="3"/>
        <item x="2"/>
        <item x="1"/>
        <item x="0"/>
        <item x="4"/>
        <item h="1" x="5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ickets Handled" fld="3" baseField="0" baseItem="0"/>
    <dataField name="Sum of Hours Worked" fld="2" baseField="0" baseItem="0"/>
    <dataField name="Average of Tickets per Hour" fld="6" subtotal="average" baseField="0" baseItem="2" numFmtId="2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9"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2FCA9-475A-4719-88F8-BFD55E0C57DC}" name="PivotTable10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nt" colHeaderCaption="SLA Met">
  <location ref="A44:B50" firstHeaderRow="1" firstDataRow="1" firstDataCol="1"/>
  <pivotFields count="16">
    <pivotField showAll="0"/>
    <pivotField numFmtId="14" showAll="0"/>
    <pivotField numFmtId="14" showAll="0"/>
    <pivotField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ustomer Satisfaction" fld="10" subtotal="average" baseField="5" baseItem="1" numFmtId="2"/>
  </dataFields>
  <formats count="1">
    <format dxfId="34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549CF-552A-4592-9C0F-98A0F58D3ABA}" name="PivotTable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iority" colHeaderCaption="SLA Met">
  <location ref="A2:D8" firstHeaderRow="1" firstDataRow="2" firstDataCol="1"/>
  <pivotFields count="16">
    <pivotField showAll="0"/>
    <pivotField numFmtId="14" showAll="0"/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SLA Met" fld="11" subtotal="count" baseField="0" baseItem="0"/>
  </dataFields>
  <chartFormats count="4">
    <chartFormat chart="3" format="6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8D87C-1C89-4FB4-8077-EB00F8332D8F}" name="PivotTable1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t" colHeaderCaption="SLA Met">
  <location ref="A84:B90" firstHeaderRow="1" firstDataRow="1" firstDataCol="1"/>
  <pivotFields count="9">
    <pivotField axis="axisRow" showAll="0">
      <items count="7">
        <item x="3"/>
        <item x="2"/>
        <item x="1"/>
        <item x="0"/>
        <item x="4"/>
        <item h="1"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B9E1D1-3425-47A1-83B9-7F3E3ABFC04B}" name="tblTime" displayName="tblTime" ref="A1:N201" totalsRowShown="0" headerRowDxfId="28">
  <autoFilter ref="A1:N201" xr:uid="{CAB9E1D1-3425-47A1-83B9-7F3E3ABFC04B}"/>
  <tableColumns count="14">
    <tableColumn id="1" xr3:uid="{3E058B4B-BF6E-4882-939D-3212CBED2CF0}" name="Agent Name"/>
    <tableColumn id="2" xr3:uid="{98FA3DA1-8DA3-4F0C-A520-B7C8DFE561F3}" name="Date" dataDxfId="27"/>
    <tableColumn id="3" xr3:uid="{2A33EAC9-2C1A-4711-A754-EF7BF45309E6}" name="Hours Worked"/>
    <tableColumn id="4" xr3:uid="{1D01CEFF-78AC-4A06-8935-AD92AB62A1B4}" name="Tickets Handled"/>
    <tableColumn id="5" xr3:uid="{1F4AFC20-39C0-4B99-975D-920B3C37C443}" name="Idle Time (hrs)"/>
    <tableColumn id="6" xr3:uid="{46342D01-02EC-4FC1-9342-2269A4EFA624}" name="Overtime Hours"/>
    <tableColumn id="7" xr3:uid="{A4691507-6855-42C8-AD2F-842FF24B30C6}" name="Tickets per Hour" dataDxfId="26">
      <calculatedColumnFormula>tblTime[[#This Row],[Tickets Handled]]/tblTime[[#This Row],[Hours Worked]]</calculatedColumnFormula>
    </tableColumn>
    <tableColumn id="8" xr3:uid="{C66E828B-1A9B-456B-BCB7-E29DAADD0141}" name="Utilization %" dataDxfId="25">
      <calculatedColumnFormula>(tblTime[[#This Row],[Hours Worked]]-tblTime[[#This Row],[Idle Time (hrs)]])/tblTime[[#This Row],[Hours Worked]]</calculatedColumnFormula>
    </tableColumn>
    <tableColumn id="9" xr3:uid="{91D123D9-A504-446A-916F-9F8989EAEFCF}" name="Productive Hours" dataDxfId="24">
      <calculatedColumnFormula>tblTime[[#This Row],[Hours Worked]]-tblTime[[#This Row],[Idle Time (hrs)]]</calculatedColumnFormula>
    </tableColumn>
    <tableColumn id="10" xr3:uid="{4B912BB9-E63A-4201-9DB3-4F31009AA463}" name="Experience Level" dataDxfId="23">
      <calculatedColumnFormula>VLOOKUP(tblTime[[#This Row],[Agent Name]],tblAgents[[#All],[Agent Name]:[Experience Level]],2,FALSE)</calculatedColumnFormula>
    </tableColumn>
    <tableColumn id="11" xr3:uid="{001B15EE-919F-4C36-B423-539C9179C59E}" name="Team" dataDxfId="22">
      <calculatedColumnFormula>VLOOKUP(tblTime[[#This Row],[Agent Name]],Agent_Info!A:C,3,FALSE)</calculatedColumnFormula>
    </tableColumn>
    <tableColumn id="12" xr3:uid="{78FCA561-E9A4-49F4-A34B-31791C7854F4}" name="City" dataDxfId="21">
      <calculatedColumnFormula>VLOOKUP(tblTime[[#This Row],[Agent Name]],Agent_Info!A:D,4,FALSE)</calculatedColumnFormula>
    </tableColumn>
    <tableColumn id="13" xr3:uid="{0AC249DB-E465-4722-8CCD-43E9C0AF06DC}" name="Gender" dataDxfId="20">
      <calculatedColumnFormula>VLOOKUP(tblTime[[#This Row],[Agent Name]],Agent_Info!$A:$E,5,FALSE)</calculatedColumnFormula>
    </tableColumn>
    <tableColumn id="15" xr3:uid="{DD14035B-DB8D-4BA8-9EA9-BD860646A419}" name="First Response Time (hrs)" dataDxfId="19">
      <calculatedColumnFormula>SUMIFS(Support_Tickets!J:J, Support_Tickets!B:B, tblTime[[#This Row],[Date]],Support_Tickets!F:F,tblTime[[#This Row],[Agent Name]])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74327-70E8-4361-B23E-B343F5317C14}" name="tblTickets" displayName="tblTickets" ref="A1:N501" totalsRowShown="0" headerRowDxfId="18">
  <autoFilter ref="A1:N501" xr:uid="{44874327-70E8-4361-B23E-B343F5317C14}"/>
  <sortState xmlns:xlrd2="http://schemas.microsoft.com/office/spreadsheetml/2017/richdata2" ref="A2:N501">
    <sortCondition ref="K1:K501"/>
  </sortState>
  <tableColumns count="14">
    <tableColumn id="1" xr3:uid="{1E20927A-71C1-49B3-9A5D-3B54173EF08E}" name="Ticket ID"/>
    <tableColumn id="2" xr3:uid="{7EEBE0E2-1267-43D7-9BDC-DFE389E7644E}" name="Created Date" dataDxfId="17"/>
    <tableColumn id="3" xr3:uid="{0B275E38-71B1-416F-ADA2-51E5D6907C0B}" name="Resolved Date" dataDxfId="16"/>
    <tableColumn id="4" xr3:uid="{55863CD7-C51E-40C7-8873-A569614F177D}" name="Priority"/>
    <tableColumn id="5" xr3:uid="{2AC67593-E621-434D-AE0D-DB1BDA9689B9}" name="Category"/>
    <tableColumn id="6" xr3:uid="{D12F3E3C-DEEE-42AF-AA2E-99A0CD720DD9}" name="Assigned Agent"/>
    <tableColumn id="7" xr3:uid="{72C91A24-3133-412B-A94E-410DA1E784A2}" name="Status"/>
    <tableColumn id="8" xr3:uid="{8C2DF3BD-7B38-45AA-A677-4A16A505069A}" name="SLA Target (hrs)"/>
    <tableColumn id="9" xr3:uid="{F9995CA3-EDED-4BF2-A99D-1171F122AF1E}" name="Actual Resolution Time (hrs)"/>
    <tableColumn id="10" xr3:uid="{8BC62B66-9F6D-4A0D-9165-0075786F452E}" name="First Response Time (hrs)"/>
    <tableColumn id="11" xr3:uid="{37EDA4F8-72BC-441E-B8A5-4B9628592E69}" name="Customer Satisfaction"/>
    <tableColumn id="12" xr3:uid="{278E7294-8891-40CF-8B20-370BADF2895A}" name="SLA Met" dataDxfId="15">
      <calculatedColumnFormula>IF(tblTickets[[#This Row],[SLA Target (hrs)]]&gt;=tblTickets[[#This Row],[Actual Resolution Time (hrs)]],"Yes","No")</calculatedColumnFormula>
    </tableColumn>
    <tableColumn id="15" xr3:uid="{21043B7C-033E-44C3-94DF-C08B5E8DA7F2}" name="Ticket Age (hrs)" dataDxfId="14">
      <calculatedColumnFormula>(tblTickets[[#This Row],[Resolved Date]]-tblTickets[[#This Row],[Created Date]])*24</calculatedColumnFormula>
    </tableColumn>
    <tableColumn id="16" xr3:uid="{FFDC8DCA-8103-4122-AF61-CA7CD98F4E67}" name="CSAT Group" dataDxfId="13">
      <calculatedColumnFormula>IF(tblTickets[[#This Row],[Customer Satisfaction]]&gt;=4,"Satisfied",IF(tblTickets[[#This Row],[Customer Satisfaction]]=3,"Neutral","Dissatisfied"))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ABE940-6045-4674-8413-15FD67D170E6}" name="tblAgents" displayName="tblAgents" ref="A1:H6" totalsRowShown="0" headerRowDxfId="12">
  <autoFilter ref="A1:H6" xr:uid="{2CABE940-6045-4674-8413-15FD67D170E6}"/>
  <tableColumns count="8">
    <tableColumn id="1" xr3:uid="{D69629D1-FAB5-4949-886A-61B1D5EEE005}" name="Agent Name"/>
    <tableColumn id="2" xr3:uid="{E4340566-B4B5-4827-8853-45C1275411F5}" name="Experience Level"/>
    <tableColumn id="3" xr3:uid="{329C8C39-6317-4C0E-B56F-3DCC0FFA5677}" name="Team"/>
    <tableColumn id="4" xr3:uid="{E5B9B8CB-B8E3-4CAF-AAD7-597A0FAC3C85}" name="City"/>
    <tableColumn id="5" xr3:uid="{EB4830F3-D0AB-4FE3-A24B-23ACD7D498D4}" name="Gender"/>
    <tableColumn id="7" xr3:uid="{6B07B150-578A-4ACB-AD74-7ABB4764E7BA}" name="tickets handled" dataDxfId="11">
      <calculatedColumnFormula>SUMIFS(Agent_TimeSheets!D:D, Agent_TimeSheets!A:A, tblAgents[[#This Row],[Agent Name]])</calculatedColumnFormula>
    </tableColumn>
    <tableColumn id="8" xr3:uid="{EE664AA5-D9A2-46A4-9A50-EC048038CBFA}" name="Actual Resolution Time (hrs)" dataDxfId="10">
      <calculatedColumnFormula>SUMIFS(Support_Tickets!I:I, Support_Tickets!F:F, tblAgents[[#This Row],[Agent Name]])</calculatedColumnFormula>
    </tableColumn>
    <tableColumn id="6" xr3:uid="{777FF19E-D0DA-41CC-B21C-D3EB88BCAF59}" name="years work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80BA-E1A8-4385-8F6A-827B09603997}">
  <dimension ref="B2:L17"/>
  <sheetViews>
    <sheetView showGridLines="0" workbookViewId="0">
      <selection activeCell="B5" sqref="B5"/>
    </sheetView>
  </sheetViews>
  <sheetFormatPr defaultRowHeight="14.5" x14ac:dyDescent="0.35"/>
  <cols>
    <col min="2" max="2" width="11.36328125" bestFit="1" customWidth="1"/>
    <col min="3" max="3" width="3.81640625" bestFit="1" customWidth="1"/>
    <col min="5" max="5" width="15.90625" bestFit="1" customWidth="1"/>
    <col min="6" max="6" width="6.81640625" bestFit="1" customWidth="1"/>
    <col min="8" max="8" width="22.36328125" bestFit="1" customWidth="1"/>
    <col min="9" max="9" width="5.36328125" bestFit="1" customWidth="1"/>
    <col min="11" max="11" width="8.453125" bestFit="1" customWidth="1"/>
  </cols>
  <sheetData>
    <row r="2" spans="2:12" x14ac:dyDescent="0.35">
      <c r="B2" s="1" t="s">
        <v>546</v>
      </c>
      <c r="C2">
        <f>KPI_Summary!B1</f>
        <v>500</v>
      </c>
      <c r="E2" s="1" t="s">
        <v>551</v>
      </c>
      <c r="F2" s="7">
        <f>KPI_Summary!B6</f>
        <v>0.23</v>
      </c>
      <c r="H2" s="1" t="s">
        <v>555</v>
      </c>
      <c r="I2" s="4">
        <f>KPI_Summary!B7</f>
        <v>24.30421999999998</v>
      </c>
      <c r="K2" s="1" t="s">
        <v>552</v>
      </c>
      <c r="L2">
        <f>KPI_Summary!B9</f>
        <v>2.98</v>
      </c>
    </row>
    <row r="4" spans="2:12" x14ac:dyDescent="0.35">
      <c r="B4" s="1" t="s">
        <v>575</v>
      </c>
    </row>
    <row r="5" spans="2:12" x14ac:dyDescent="0.35">
      <c r="B5" s="12" t="s">
        <v>595</v>
      </c>
    </row>
    <row r="6" spans="2:12" x14ac:dyDescent="0.35">
      <c r="B6" t="s">
        <v>596</v>
      </c>
    </row>
    <row r="7" spans="2:12" x14ac:dyDescent="0.35">
      <c r="B7" t="s">
        <v>576</v>
      </c>
    </row>
    <row r="8" spans="2:12" x14ac:dyDescent="0.35">
      <c r="B8" t="s">
        <v>577</v>
      </c>
    </row>
    <row r="9" spans="2:12" x14ac:dyDescent="0.35">
      <c r="B9" t="s">
        <v>578</v>
      </c>
    </row>
    <row r="10" spans="2:12" x14ac:dyDescent="0.35">
      <c r="B10" t="s">
        <v>579</v>
      </c>
    </row>
    <row r="12" spans="2:12" x14ac:dyDescent="0.35">
      <c r="B12" s="1" t="s">
        <v>580</v>
      </c>
    </row>
    <row r="13" spans="2:12" x14ac:dyDescent="0.35">
      <c r="B13" s="13" t="s">
        <v>581</v>
      </c>
    </row>
    <row r="14" spans="2:12" x14ac:dyDescent="0.35">
      <c r="B14" t="s">
        <v>582</v>
      </c>
    </row>
    <row r="15" spans="2:12" x14ac:dyDescent="0.35">
      <c r="B15" t="s">
        <v>583</v>
      </c>
    </row>
    <row r="16" spans="2:12" x14ac:dyDescent="0.35">
      <c r="B16" t="s">
        <v>584</v>
      </c>
    </row>
    <row r="17" spans="2:2" x14ac:dyDescent="0.35">
      <c r="B17" t="s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843B-1589-4E36-A718-A6E697D79968}">
  <dimension ref="A1:B11"/>
  <sheetViews>
    <sheetView workbookViewId="0">
      <selection activeCell="B10" sqref="B10"/>
    </sheetView>
  </sheetViews>
  <sheetFormatPr defaultRowHeight="14.5" x14ac:dyDescent="0.35"/>
  <cols>
    <col min="1" max="1" width="26.54296875" bestFit="1" customWidth="1"/>
    <col min="2" max="2" width="6.81640625" bestFit="1" customWidth="1"/>
  </cols>
  <sheetData>
    <row r="1" spans="1:2" x14ac:dyDescent="0.35">
      <c r="A1" s="1" t="s">
        <v>546</v>
      </c>
      <c r="B1">
        <f>ROWS(tblTickets[Ticket ID])</f>
        <v>500</v>
      </c>
    </row>
    <row r="2" spans="1:2" x14ac:dyDescent="0.35">
      <c r="A2" s="1" t="s">
        <v>547</v>
      </c>
      <c r="B2">
        <f>COUNTIF(tblTickets[Status],"Resolved")</f>
        <v>164</v>
      </c>
    </row>
    <row r="3" spans="1:2" x14ac:dyDescent="0.35">
      <c r="A3" s="1" t="s">
        <v>548</v>
      </c>
      <c r="B3">
        <f>COUNTIF(tblTickets[Status],"Pending")</f>
        <v>159</v>
      </c>
    </row>
    <row r="4" spans="1:2" x14ac:dyDescent="0.35">
      <c r="A4" s="1" t="s">
        <v>549</v>
      </c>
      <c r="B4">
        <f>COUNTIF(tblTickets[Status],"Escalated")</f>
        <v>177</v>
      </c>
    </row>
    <row r="5" spans="1:2" x14ac:dyDescent="0.35">
      <c r="A5" s="1" t="s">
        <v>550</v>
      </c>
      <c r="B5">
        <f>COUNTIF(tblTickets[SLA Met],"Yes")</f>
        <v>115</v>
      </c>
    </row>
    <row r="6" spans="1:2" x14ac:dyDescent="0.35">
      <c r="A6" s="1" t="s">
        <v>551</v>
      </c>
      <c r="B6" s="7">
        <f>B5/B1</f>
        <v>0.23</v>
      </c>
    </row>
    <row r="7" spans="1:2" x14ac:dyDescent="0.35">
      <c r="A7" s="1" t="s">
        <v>555</v>
      </c>
      <c r="B7" s="4">
        <f>AVERAGE(tblTickets[Actual Resolution Time (hrs)])</f>
        <v>24.30421999999998</v>
      </c>
    </row>
    <row r="8" spans="1:2" x14ac:dyDescent="0.35">
      <c r="A8" s="1" t="s">
        <v>556</v>
      </c>
      <c r="B8" s="4">
        <f>AVERAGE(tblTickets[First Response Time (hrs)])</f>
        <v>4.0929000000000055</v>
      </c>
    </row>
    <row r="9" spans="1:2" x14ac:dyDescent="0.35">
      <c r="A9" s="1" t="s">
        <v>552</v>
      </c>
      <c r="B9">
        <f>AVERAGE(tblTickets[Customer Satisfaction])</f>
        <v>2.98</v>
      </c>
    </row>
    <row r="10" spans="1:2" x14ac:dyDescent="0.35">
      <c r="A10" s="1" t="s">
        <v>553</v>
      </c>
      <c r="B10" s="4">
        <f>AVERAGE(tblTime[Tickets per Hour])</f>
        <v>2.0092522134123469</v>
      </c>
    </row>
    <row r="11" spans="1:2" x14ac:dyDescent="0.35">
      <c r="A11" s="1" t="s">
        <v>554</v>
      </c>
      <c r="B11" s="7">
        <f>AVERAGE(tblTime[Utilization %])</f>
        <v>0.80537374514259485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FB47-C348-4D94-9094-B19789972618}">
  <dimension ref="A1:I98"/>
  <sheetViews>
    <sheetView tabSelected="1" zoomScaleNormal="100" workbookViewId="0">
      <selection activeCell="H80" sqref="H80"/>
    </sheetView>
  </sheetViews>
  <sheetFormatPr defaultRowHeight="14.5" x14ac:dyDescent="0.35"/>
  <cols>
    <col min="1" max="1" width="10.7265625" bestFit="1" customWidth="1"/>
    <col min="2" max="2" width="20.54296875" bestFit="1" customWidth="1"/>
    <col min="3" max="3" width="19.453125" bestFit="1" customWidth="1"/>
    <col min="4" max="4" width="24.1796875" bestFit="1" customWidth="1"/>
    <col min="5" max="5" width="6.08984375" customWidth="1"/>
    <col min="6" max="6" width="12.08984375" bestFit="1" customWidth="1"/>
    <col min="7" max="7" width="34.26953125" customWidth="1"/>
    <col min="8" max="9" width="24.1796875" bestFit="1" customWidth="1"/>
    <col min="10" max="10" width="20.81640625" bestFit="1" customWidth="1"/>
    <col min="11" max="11" width="17.7265625" bestFit="1" customWidth="1"/>
  </cols>
  <sheetData>
    <row r="1" spans="1:9" x14ac:dyDescent="0.35">
      <c r="A1" s="17" t="s">
        <v>562</v>
      </c>
      <c r="B1" s="17"/>
      <c r="C1" s="17"/>
      <c r="D1" s="17"/>
      <c r="F1" s="17" t="s">
        <v>601</v>
      </c>
      <c r="G1" s="17"/>
      <c r="H1" s="17"/>
    </row>
    <row r="2" spans="1:9" x14ac:dyDescent="0.35">
      <c r="A2" s="8" t="s">
        <v>601</v>
      </c>
      <c r="B2" s="8" t="s">
        <v>540</v>
      </c>
      <c r="F2" s="16"/>
      <c r="G2" s="16"/>
      <c r="H2" s="16"/>
      <c r="I2" s="1"/>
    </row>
    <row r="3" spans="1:9" x14ac:dyDescent="0.35">
      <c r="A3" s="8" t="s">
        <v>3</v>
      </c>
      <c r="B3" t="s">
        <v>558</v>
      </c>
      <c r="C3" t="s">
        <v>559</v>
      </c>
      <c r="D3" t="s">
        <v>557</v>
      </c>
      <c r="F3" s="1" t="s">
        <v>3</v>
      </c>
      <c r="G3" s="1" t="s">
        <v>558</v>
      </c>
      <c r="H3" s="1" t="s">
        <v>559</v>
      </c>
    </row>
    <row r="4" spans="1:9" x14ac:dyDescent="0.35">
      <c r="A4" s="9" t="s">
        <v>12</v>
      </c>
      <c r="B4">
        <v>100</v>
      </c>
      <c r="C4">
        <v>27</v>
      </c>
      <c r="D4">
        <v>127</v>
      </c>
      <c r="F4" s="9" t="s">
        <v>12</v>
      </c>
      <c r="G4">
        <f>COUNTIFS(Support_Tickets!L:L,"No",Support_Tickets!D:D,Pivot_Tables!A4)</f>
        <v>100</v>
      </c>
      <c r="H4">
        <f>COUNTIFS(Support_Tickets!L:L,"Yes",Support_Tickets!D:D,Pivot_Tables!A4)</f>
        <v>27</v>
      </c>
    </row>
    <row r="5" spans="1:9" x14ac:dyDescent="0.35">
      <c r="A5" s="9" t="s">
        <v>30</v>
      </c>
      <c r="B5">
        <v>98</v>
      </c>
      <c r="C5">
        <v>21</v>
      </c>
      <c r="D5">
        <v>119</v>
      </c>
      <c r="F5" s="9" t="s">
        <v>30</v>
      </c>
      <c r="G5">
        <f>COUNTIFS(Support_Tickets!L:L,"No",Support_Tickets!D:D,Pivot_Tables!A5)</f>
        <v>98</v>
      </c>
      <c r="H5">
        <f>COUNTIFS(Support_Tickets!L:L,"Yes",Support_Tickets!D:D,Pivot_Tables!A5)</f>
        <v>21</v>
      </c>
    </row>
    <row r="6" spans="1:9" x14ac:dyDescent="0.35">
      <c r="A6" s="9" t="s">
        <v>23</v>
      </c>
      <c r="B6">
        <v>87</v>
      </c>
      <c r="C6">
        <v>36</v>
      </c>
      <c r="D6">
        <v>123</v>
      </c>
      <c r="F6" s="9" t="s">
        <v>23</v>
      </c>
      <c r="G6">
        <f>COUNTIFS(Support_Tickets!L:L,"No",Support_Tickets!D:D,Pivot_Tables!A6)</f>
        <v>87</v>
      </c>
      <c r="H6">
        <f>COUNTIFS(Support_Tickets!L:L,"Yes",Support_Tickets!D:D,Pivot_Tables!A6)</f>
        <v>36</v>
      </c>
    </row>
    <row r="7" spans="1:9" x14ac:dyDescent="0.35">
      <c r="A7" s="9" t="s">
        <v>34</v>
      </c>
      <c r="B7">
        <v>100</v>
      </c>
      <c r="C7">
        <v>31</v>
      </c>
      <c r="D7">
        <v>131</v>
      </c>
      <c r="F7" s="9" t="s">
        <v>34</v>
      </c>
      <c r="G7">
        <f>COUNTIFS(Support_Tickets!L:L,"No",Support_Tickets!D:D,Pivot_Tables!A7)</f>
        <v>100</v>
      </c>
      <c r="H7">
        <f>COUNTIFS(Support_Tickets!L:L,"Yes",Support_Tickets!D:D,Pivot_Tables!A7)</f>
        <v>31</v>
      </c>
    </row>
    <row r="8" spans="1:9" x14ac:dyDescent="0.35">
      <c r="A8" s="9" t="s">
        <v>557</v>
      </c>
      <c r="B8">
        <v>385</v>
      </c>
      <c r="C8">
        <v>115</v>
      </c>
      <c r="D8">
        <v>500</v>
      </c>
    </row>
    <row r="11" spans="1:9" x14ac:dyDescent="0.35">
      <c r="A11" s="17" t="s">
        <v>563</v>
      </c>
      <c r="B11" s="17"/>
      <c r="C11" s="17"/>
      <c r="D11" s="17"/>
    </row>
    <row r="12" spans="1:9" x14ac:dyDescent="0.35">
      <c r="A12" s="8" t="s">
        <v>561</v>
      </c>
      <c r="B12" s="8" t="s">
        <v>540</v>
      </c>
      <c r="F12" s="17" t="s">
        <v>563</v>
      </c>
      <c r="G12" s="17"/>
      <c r="H12" s="17"/>
    </row>
    <row r="13" spans="1:9" x14ac:dyDescent="0.35">
      <c r="A13" s="8" t="s">
        <v>3</v>
      </c>
      <c r="B13" t="s">
        <v>558</v>
      </c>
      <c r="C13" t="s">
        <v>559</v>
      </c>
      <c r="D13" t="s">
        <v>557</v>
      </c>
      <c r="F13" s="1" t="s">
        <v>3</v>
      </c>
      <c r="G13" s="1" t="s">
        <v>558</v>
      </c>
      <c r="H13" s="1" t="s">
        <v>559</v>
      </c>
      <c r="I13" s="1"/>
    </row>
    <row r="14" spans="1:9" x14ac:dyDescent="0.35">
      <c r="A14" s="9" t="s">
        <v>12</v>
      </c>
      <c r="B14" s="7">
        <v>0.78740157480314965</v>
      </c>
      <c r="C14" s="7">
        <v>0.2125984251968504</v>
      </c>
      <c r="D14" s="7">
        <v>1</v>
      </c>
      <c r="F14" s="9" t="s">
        <v>12</v>
      </c>
      <c r="G14" s="7">
        <f>(G4/(G4+H4))</f>
        <v>0.78740157480314965</v>
      </c>
      <c r="H14" s="7">
        <f>((H4/(G4+H4)))</f>
        <v>0.2125984251968504</v>
      </c>
    </row>
    <row r="15" spans="1:9" x14ac:dyDescent="0.35">
      <c r="A15" s="9" t="s">
        <v>30</v>
      </c>
      <c r="B15" s="7">
        <v>0.82352941176470584</v>
      </c>
      <c r="C15" s="7">
        <v>0.17647058823529413</v>
      </c>
      <c r="D15" s="7">
        <v>1</v>
      </c>
      <c r="F15" s="9" t="s">
        <v>30</v>
      </c>
      <c r="G15" s="7">
        <f t="shared" ref="G15:G17" si="0">(G5/(G5+H5))</f>
        <v>0.82352941176470584</v>
      </c>
      <c r="H15" s="7">
        <f t="shared" ref="H15:H17" si="1">((H5/(G5+H5)))</f>
        <v>0.17647058823529413</v>
      </c>
    </row>
    <row r="16" spans="1:9" x14ac:dyDescent="0.35">
      <c r="A16" s="9" t="s">
        <v>23</v>
      </c>
      <c r="B16" s="7">
        <v>0.70731707317073167</v>
      </c>
      <c r="C16" s="7">
        <v>0.29268292682926828</v>
      </c>
      <c r="D16" s="7">
        <v>1</v>
      </c>
      <c r="F16" s="9" t="s">
        <v>23</v>
      </c>
      <c r="G16" s="7">
        <f t="shared" si="0"/>
        <v>0.70731707317073167</v>
      </c>
      <c r="H16" s="7">
        <f t="shared" si="1"/>
        <v>0.29268292682926828</v>
      </c>
    </row>
    <row r="17" spans="1:8" x14ac:dyDescent="0.35">
      <c r="A17" s="9" t="s">
        <v>34</v>
      </c>
      <c r="B17" s="7">
        <v>0.76335877862595425</v>
      </c>
      <c r="C17" s="7">
        <v>0.23664122137404581</v>
      </c>
      <c r="D17" s="7">
        <v>1</v>
      </c>
      <c r="F17" s="9" t="s">
        <v>34</v>
      </c>
      <c r="G17" s="7">
        <f t="shared" si="0"/>
        <v>0.76335877862595425</v>
      </c>
      <c r="H17" s="7">
        <f t="shared" si="1"/>
        <v>0.23664122137404581</v>
      </c>
    </row>
    <row r="18" spans="1:8" x14ac:dyDescent="0.35">
      <c r="A18" s="9" t="s">
        <v>557</v>
      </c>
      <c r="B18" s="7">
        <v>0.77</v>
      </c>
      <c r="C18" s="7">
        <v>0.23</v>
      </c>
      <c r="D18" s="7">
        <v>1</v>
      </c>
    </row>
    <row r="22" spans="1:8" x14ac:dyDescent="0.35">
      <c r="A22" s="17" t="s">
        <v>564</v>
      </c>
      <c r="B22" s="17"/>
      <c r="C22" s="10"/>
      <c r="D22" s="10"/>
      <c r="F22" s="17" t="s">
        <v>564</v>
      </c>
      <c r="G22" s="17"/>
      <c r="H22" s="1"/>
    </row>
    <row r="23" spans="1:8" x14ac:dyDescent="0.35">
      <c r="A23" s="8" t="s">
        <v>4</v>
      </c>
      <c r="B23" t="s">
        <v>565</v>
      </c>
      <c r="F23" s="1" t="s">
        <v>4</v>
      </c>
      <c r="G23" s="1" t="s">
        <v>565</v>
      </c>
    </row>
    <row r="24" spans="1:8" x14ac:dyDescent="0.35">
      <c r="A24" s="9" t="s">
        <v>13</v>
      </c>
      <c r="B24" s="4">
        <v>26.180676691729321</v>
      </c>
      <c r="F24" t="s">
        <v>13</v>
      </c>
      <c r="G24" s="4">
        <f>AVERAGEIFS(Support_Tickets!I:I,Support_Tickets!E:E,Pivot_Tables!A24)</f>
        <v>26.180676691729328</v>
      </c>
    </row>
    <row r="25" spans="1:8" x14ac:dyDescent="0.35">
      <c r="A25" s="9" t="s">
        <v>19</v>
      </c>
      <c r="B25" s="4">
        <v>22.658897637795274</v>
      </c>
      <c r="F25" t="s">
        <v>19</v>
      </c>
      <c r="G25" s="4">
        <f>AVERAGEIFS(Support_Tickets!I:I,Support_Tickets!E:E,Pivot_Tables!A25)</f>
        <v>22.658897637795281</v>
      </c>
    </row>
    <row r="26" spans="1:8" x14ac:dyDescent="0.35">
      <c r="A26" s="9" t="s">
        <v>17</v>
      </c>
      <c r="B26" s="4">
        <v>22.7707627118644</v>
      </c>
      <c r="F26" t="s">
        <v>17</v>
      </c>
      <c r="G26" s="4">
        <f>AVERAGEIFS(Support_Tickets!I:I,Support_Tickets!E:E,Pivot_Tables!A26)</f>
        <v>22.770762711864407</v>
      </c>
    </row>
    <row r="27" spans="1:8" x14ac:dyDescent="0.35">
      <c r="A27" s="9" t="s">
        <v>40</v>
      </c>
      <c r="B27" s="4">
        <v>25.454508196721321</v>
      </c>
      <c r="F27" t="s">
        <v>40</v>
      </c>
      <c r="G27" s="4">
        <f>AVERAGEIFS(Support_Tickets!I:I,Support_Tickets!E:E,Pivot_Tables!A27)</f>
        <v>25.45450819672131</v>
      </c>
    </row>
    <row r="28" spans="1:8" x14ac:dyDescent="0.35">
      <c r="A28" s="9" t="s">
        <v>557</v>
      </c>
      <c r="B28" s="4">
        <v>24.304219999999987</v>
      </c>
    </row>
    <row r="30" spans="1:8" x14ac:dyDescent="0.35">
      <c r="F30" s="9"/>
      <c r="G30" s="4"/>
    </row>
    <row r="31" spans="1:8" x14ac:dyDescent="0.35">
      <c r="F31" s="9"/>
      <c r="G31" s="4"/>
    </row>
    <row r="32" spans="1:8" x14ac:dyDescent="0.35">
      <c r="A32" s="17" t="s">
        <v>600</v>
      </c>
      <c r="B32" s="17"/>
      <c r="F32" s="17" t="s">
        <v>600</v>
      </c>
      <c r="G32" s="17"/>
    </row>
    <row r="33" spans="1:7" x14ac:dyDescent="0.35">
      <c r="A33" s="8" t="s">
        <v>568</v>
      </c>
      <c r="B33" t="s">
        <v>565</v>
      </c>
      <c r="F33" s="15" t="s">
        <v>568</v>
      </c>
      <c r="G33" s="5" t="s">
        <v>565</v>
      </c>
    </row>
    <row r="34" spans="1:7" x14ac:dyDescent="0.35">
      <c r="A34" s="9" t="s">
        <v>25</v>
      </c>
      <c r="B34" s="4">
        <v>25.275818181818188</v>
      </c>
      <c r="F34" s="9" t="s">
        <v>25</v>
      </c>
      <c r="G34" s="4">
        <f>AVERAGEIFS(Support_Tickets!I:I,Support_Tickets!F:F,Pivot_Tables!A34)</f>
        <v>25.275818181818185</v>
      </c>
    </row>
    <row r="35" spans="1:7" x14ac:dyDescent="0.35">
      <c r="A35" s="9" t="s">
        <v>45</v>
      </c>
      <c r="B35" s="4">
        <v>25.140909090909091</v>
      </c>
      <c r="F35" s="9" t="s">
        <v>45</v>
      </c>
      <c r="G35" s="4">
        <f>AVERAGEIFS(Support_Tickets!I:I,Support_Tickets!F:F,Pivot_Tables!A35)</f>
        <v>25.140909090909098</v>
      </c>
    </row>
    <row r="36" spans="1:7" x14ac:dyDescent="0.35">
      <c r="A36" s="9" t="s">
        <v>41</v>
      </c>
      <c r="B36" s="4">
        <v>26.353440860215049</v>
      </c>
      <c r="F36" s="9" t="s">
        <v>41</v>
      </c>
      <c r="G36" s="4">
        <f>AVERAGEIFS(Support_Tickets!I:I,Support_Tickets!F:F,Pivot_Tables!A36)</f>
        <v>26.353440860215052</v>
      </c>
    </row>
    <row r="37" spans="1:7" x14ac:dyDescent="0.35">
      <c r="A37" s="9" t="s">
        <v>14</v>
      </c>
      <c r="B37" s="4">
        <v>22.115312500000005</v>
      </c>
      <c r="F37" s="9" t="s">
        <v>14</v>
      </c>
      <c r="G37" s="4">
        <f>AVERAGEIFS(Support_Tickets!I:I,Support_Tickets!F:F,Pivot_Tables!A37)</f>
        <v>22.115312500000002</v>
      </c>
    </row>
    <row r="38" spans="1:7" x14ac:dyDescent="0.35">
      <c r="A38" s="9" t="s">
        <v>20</v>
      </c>
      <c r="B38" s="4">
        <v>22.333296703296696</v>
      </c>
      <c r="F38" s="9" t="s">
        <v>20</v>
      </c>
      <c r="G38" s="4">
        <f>AVERAGEIFS(Support_Tickets!I:I,Support_Tickets!F:F,Pivot_Tables!A38)</f>
        <v>22.333296703296693</v>
      </c>
    </row>
    <row r="39" spans="1:7" x14ac:dyDescent="0.35">
      <c r="A39" s="9" t="s">
        <v>557</v>
      </c>
      <c r="B39" s="4">
        <v>24.304220000000011</v>
      </c>
      <c r="F39" s="9"/>
      <c r="G39" s="4"/>
    </row>
    <row r="40" spans="1:7" x14ac:dyDescent="0.35">
      <c r="F40" s="9"/>
      <c r="G40" s="4"/>
    </row>
    <row r="43" spans="1:7" x14ac:dyDescent="0.35">
      <c r="A43" s="17" t="s">
        <v>566</v>
      </c>
      <c r="B43" s="17"/>
      <c r="C43" s="1"/>
      <c r="D43" s="1"/>
      <c r="F43" s="17" t="s">
        <v>566</v>
      </c>
      <c r="G43" s="17"/>
    </row>
    <row r="44" spans="1:7" x14ac:dyDescent="0.35">
      <c r="A44" s="8" t="s">
        <v>568</v>
      </c>
      <c r="B44" t="s">
        <v>567</v>
      </c>
      <c r="F44" s="1" t="s">
        <v>568</v>
      </c>
      <c r="G44" s="1" t="s">
        <v>567</v>
      </c>
    </row>
    <row r="45" spans="1:7" x14ac:dyDescent="0.35">
      <c r="A45" s="9" t="s">
        <v>25</v>
      </c>
      <c r="B45" s="4">
        <v>3.2</v>
      </c>
      <c r="F45" s="9" t="s">
        <v>25</v>
      </c>
      <c r="G45" s="4">
        <f>AVERAGEIFS(Support_Tickets!K:K,Support_Tickets!F:F,Pivot_Tables!A45)</f>
        <v>3.2</v>
      </c>
    </row>
    <row r="46" spans="1:7" x14ac:dyDescent="0.35">
      <c r="A46" s="9" t="s">
        <v>45</v>
      </c>
      <c r="B46" s="4">
        <v>2.918181818181818</v>
      </c>
      <c r="F46" s="9" t="s">
        <v>45</v>
      </c>
      <c r="G46" s="4">
        <f>AVERAGEIFS(Support_Tickets!K:K,Support_Tickets!F:F,Pivot_Tables!A46)</f>
        <v>2.918181818181818</v>
      </c>
    </row>
    <row r="47" spans="1:7" x14ac:dyDescent="0.35">
      <c r="A47" s="9" t="s">
        <v>41</v>
      </c>
      <c r="B47" s="4">
        <v>3.010752688172043</v>
      </c>
      <c r="F47" s="9" t="s">
        <v>41</v>
      </c>
      <c r="G47" s="4">
        <f>AVERAGEIFS(Support_Tickets!K:K,Support_Tickets!F:F,Pivot_Tables!A47)</f>
        <v>3.010752688172043</v>
      </c>
    </row>
    <row r="48" spans="1:7" x14ac:dyDescent="0.35">
      <c r="A48" s="9" t="s">
        <v>14</v>
      </c>
      <c r="B48" s="4">
        <v>2.8020833333333335</v>
      </c>
      <c r="F48" s="9" t="s">
        <v>14</v>
      </c>
      <c r="G48" s="4">
        <f>AVERAGEIFS(Support_Tickets!K:K,Support_Tickets!F:F,Pivot_Tables!A48)</f>
        <v>2.8020833333333335</v>
      </c>
    </row>
    <row r="49" spans="1:7" x14ac:dyDescent="0.35">
      <c r="A49" s="9" t="s">
        <v>20</v>
      </c>
      <c r="B49" s="4">
        <v>2.9450549450549453</v>
      </c>
      <c r="F49" s="9" t="s">
        <v>20</v>
      </c>
      <c r="G49" s="4">
        <f>AVERAGEIFS(Support_Tickets!K:K,Support_Tickets!F:F,Pivot_Tables!A49)</f>
        <v>2.9450549450549453</v>
      </c>
    </row>
    <row r="50" spans="1:7" x14ac:dyDescent="0.35">
      <c r="A50" s="9" t="s">
        <v>557</v>
      </c>
      <c r="B50" s="4">
        <v>2.98</v>
      </c>
    </row>
    <row r="53" spans="1:7" x14ac:dyDescent="0.35">
      <c r="A53" s="17" t="s">
        <v>569</v>
      </c>
      <c r="B53" s="17"/>
      <c r="F53" s="17" t="s">
        <v>569</v>
      </c>
      <c r="G53" s="17"/>
    </row>
    <row r="54" spans="1:7" x14ac:dyDescent="0.35">
      <c r="A54" s="8" t="s">
        <v>4</v>
      </c>
      <c r="B54" t="s">
        <v>560</v>
      </c>
      <c r="F54" s="1" t="s">
        <v>4</v>
      </c>
      <c r="G54" s="1" t="s">
        <v>561</v>
      </c>
    </row>
    <row r="55" spans="1:7" x14ac:dyDescent="0.35">
      <c r="A55" s="9" t="s">
        <v>13</v>
      </c>
      <c r="B55" s="11">
        <v>133</v>
      </c>
      <c r="F55" s="9" t="s">
        <v>13</v>
      </c>
      <c r="G55">
        <f>COUNTIFS(Support_Tickets!E:E,Pivot_Tables!A55)</f>
        <v>133</v>
      </c>
    </row>
    <row r="56" spans="1:7" x14ac:dyDescent="0.35">
      <c r="A56" s="9" t="s">
        <v>19</v>
      </c>
      <c r="B56" s="11">
        <v>127</v>
      </c>
      <c r="F56" s="9" t="s">
        <v>19</v>
      </c>
      <c r="G56">
        <f>COUNTIFS(Support_Tickets!E:E,Pivot_Tables!A56)</f>
        <v>127</v>
      </c>
    </row>
    <row r="57" spans="1:7" x14ac:dyDescent="0.35">
      <c r="A57" s="9" t="s">
        <v>17</v>
      </c>
      <c r="B57" s="11">
        <v>118</v>
      </c>
      <c r="F57" s="9" t="s">
        <v>17</v>
      </c>
      <c r="G57">
        <f>COUNTIFS(Support_Tickets!E:E,Pivot_Tables!A57)</f>
        <v>118</v>
      </c>
    </row>
    <row r="58" spans="1:7" x14ac:dyDescent="0.35">
      <c r="A58" s="9" t="s">
        <v>40</v>
      </c>
      <c r="B58" s="11">
        <v>122</v>
      </c>
      <c r="F58" s="9" t="s">
        <v>40</v>
      </c>
      <c r="G58">
        <f>COUNTIFS(Support_Tickets!E:E,Pivot_Tables!A58)</f>
        <v>122</v>
      </c>
    </row>
    <row r="59" spans="1:7" x14ac:dyDescent="0.35">
      <c r="A59" s="9" t="s">
        <v>557</v>
      </c>
      <c r="B59" s="11">
        <v>500</v>
      </c>
    </row>
    <row r="63" spans="1:7" x14ac:dyDescent="0.35">
      <c r="A63" s="17" t="s">
        <v>570</v>
      </c>
      <c r="B63" s="17"/>
      <c r="F63" s="17" t="s">
        <v>570</v>
      </c>
      <c r="G63" s="17"/>
    </row>
    <row r="64" spans="1:7" x14ac:dyDescent="0.35">
      <c r="A64" s="8" t="s">
        <v>568</v>
      </c>
      <c r="B64" t="s">
        <v>560</v>
      </c>
      <c r="F64" s="1" t="s">
        <v>568</v>
      </c>
      <c r="G64" s="1" t="s">
        <v>560</v>
      </c>
    </row>
    <row r="65" spans="1:9" x14ac:dyDescent="0.35">
      <c r="A65" s="9" t="s">
        <v>25</v>
      </c>
      <c r="B65" s="11">
        <v>110</v>
      </c>
      <c r="F65" t="s">
        <v>25</v>
      </c>
      <c r="G65">
        <f>COUNTIFS(Support_Tickets!F:F,Pivot_Tables!A65)</f>
        <v>110</v>
      </c>
    </row>
    <row r="66" spans="1:9" x14ac:dyDescent="0.35">
      <c r="A66" s="9" t="s">
        <v>45</v>
      </c>
      <c r="B66" s="11">
        <v>110</v>
      </c>
      <c r="F66" t="s">
        <v>45</v>
      </c>
      <c r="G66">
        <f>COUNTIFS(Support_Tickets!F:F,Pivot_Tables!A66)</f>
        <v>110</v>
      </c>
    </row>
    <row r="67" spans="1:9" x14ac:dyDescent="0.35">
      <c r="A67" s="9" t="s">
        <v>41</v>
      </c>
      <c r="B67" s="11">
        <v>93</v>
      </c>
      <c r="F67" t="s">
        <v>41</v>
      </c>
      <c r="G67">
        <f>COUNTIFS(Support_Tickets!F:F,Pivot_Tables!A67)</f>
        <v>93</v>
      </c>
    </row>
    <row r="68" spans="1:9" x14ac:dyDescent="0.35">
      <c r="A68" s="9" t="s">
        <v>14</v>
      </c>
      <c r="B68" s="11">
        <v>96</v>
      </c>
      <c r="F68" t="s">
        <v>14</v>
      </c>
      <c r="G68">
        <f>COUNTIFS(Support_Tickets!F:F,Pivot_Tables!A68)</f>
        <v>96</v>
      </c>
    </row>
    <row r="69" spans="1:9" x14ac:dyDescent="0.35">
      <c r="A69" s="9" t="s">
        <v>20</v>
      </c>
      <c r="B69" s="11">
        <v>91</v>
      </c>
      <c r="F69" t="s">
        <v>20</v>
      </c>
      <c r="G69">
        <f>COUNTIFS(Support_Tickets!F:F,Pivot_Tables!A69)</f>
        <v>91</v>
      </c>
    </row>
    <row r="70" spans="1:9" x14ac:dyDescent="0.35">
      <c r="A70" s="9" t="s">
        <v>557</v>
      </c>
      <c r="B70" s="11">
        <v>500</v>
      </c>
    </row>
    <row r="73" spans="1:9" x14ac:dyDescent="0.35">
      <c r="A73" s="17" t="s">
        <v>602</v>
      </c>
      <c r="B73" s="17"/>
      <c r="C73" s="17"/>
      <c r="D73" s="17"/>
      <c r="F73" s="17" t="s">
        <v>602</v>
      </c>
      <c r="G73" s="17"/>
      <c r="H73" s="17"/>
      <c r="I73" s="17"/>
    </row>
    <row r="74" spans="1:9" x14ac:dyDescent="0.35">
      <c r="A74" s="8" t="s">
        <v>568</v>
      </c>
      <c r="B74" t="s">
        <v>603</v>
      </c>
      <c r="C74" t="s">
        <v>571</v>
      </c>
      <c r="D74" t="s">
        <v>572</v>
      </c>
      <c r="F74" s="1" t="s">
        <v>568</v>
      </c>
      <c r="G74" s="1" t="s">
        <v>530</v>
      </c>
      <c r="H74" s="1" t="s">
        <v>571</v>
      </c>
      <c r="I74" s="1" t="s">
        <v>572</v>
      </c>
    </row>
    <row r="75" spans="1:9" x14ac:dyDescent="0.35">
      <c r="A75" s="9" t="s">
        <v>25</v>
      </c>
      <c r="B75" s="18">
        <v>525</v>
      </c>
      <c r="C75" s="18">
        <v>278.48000000000008</v>
      </c>
      <c r="D75" s="4">
        <v>1.9101638082094829</v>
      </c>
      <c r="F75" t="s">
        <v>25</v>
      </c>
      <c r="G75">
        <f>SUMIFS(Agent_TimeSheets!D:D,Agent_TimeSheets!A:A,Pivot_Tables!F75)</f>
        <v>525</v>
      </c>
      <c r="H75">
        <f>SUMIFS(Agent_TimeSheets!C:C,Agent_TimeSheets!A:A,Pivot_Tables!F75)</f>
        <v>278.47999999999996</v>
      </c>
      <c r="I75" s="4">
        <f>AVERAGEIFS(Agent_TimeSheets!G:G,Agent_TimeSheets!A:A,Pivot_Tables!F75)</f>
        <v>1.9101638082094825</v>
      </c>
    </row>
    <row r="76" spans="1:9" x14ac:dyDescent="0.35">
      <c r="A76" s="9" t="s">
        <v>45</v>
      </c>
      <c r="B76" s="18">
        <v>631</v>
      </c>
      <c r="C76" s="18">
        <v>322.98999999999995</v>
      </c>
      <c r="D76" s="4">
        <v>2.0275202941781205</v>
      </c>
      <c r="F76" t="s">
        <v>45</v>
      </c>
      <c r="G76">
        <f>SUMIFS(Agent_TimeSheets!D:D,Agent_TimeSheets!A:A,Pivot_Tables!F76)</f>
        <v>631</v>
      </c>
      <c r="H76">
        <f>SUMIFS(Agent_TimeSheets!C:C,Agent_TimeSheets!A:A,Pivot_Tables!F76)</f>
        <v>322.99</v>
      </c>
      <c r="I76" s="4">
        <f>AVERAGEIFS(Agent_TimeSheets!G:G,Agent_TimeSheets!A:A,Pivot_Tables!F76)</f>
        <v>2.0275202941781201</v>
      </c>
    </row>
    <row r="77" spans="1:9" x14ac:dyDescent="0.35">
      <c r="A77" s="9" t="s">
        <v>41</v>
      </c>
      <c r="B77" s="18">
        <v>742</v>
      </c>
      <c r="C77" s="18">
        <v>359.96000000000009</v>
      </c>
      <c r="D77" s="4">
        <v>2.1020037902960178</v>
      </c>
      <c r="F77" t="s">
        <v>41</v>
      </c>
      <c r="G77">
        <f>SUMIFS(Agent_TimeSheets!D:D,Agent_TimeSheets!A:A,Pivot_Tables!F77)</f>
        <v>742</v>
      </c>
      <c r="H77">
        <f>SUMIFS(Agent_TimeSheets!C:C,Agent_TimeSheets!A:A,Pivot_Tables!F77)</f>
        <v>359.96000000000004</v>
      </c>
      <c r="I77" s="4">
        <f>AVERAGEIFS(Agent_TimeSheets!G:G,Agent_TimeSheets!A:A,Pivot_Tables!F77)</f>
        <v>2.1020037902960169</v>
      </c>
    </row>
    <row r="78" spans="1:9" x14ac:dyDescent="0.35">
      <c r="A78" s="9" t="s">
        <v>14</v>
      </c>
      <c r="B78" s="18">
        <v>801</v>
      </c>
      <c r="C78" s="18">
        <v>384.15999999999997</v>
      </c>
      <c r="D78" s="4">
        <v>2.1294162797077902</v>
      </c>
      <c r="F78" t="s">
        <v>14</v>
      </c>
      <c r="G78">
        <f>SUMIFS(Agent_TimeSheets!D:D,Agent_TimeSheets!A:A,Pivot_Tables!F78)</f>
        <v>801</v>
      </c>
      <c r="H78">
        <f>SUMIFS(Agent_TimeSheets!C:C,Agent_TimeSheets!A:A,Pivot_Tables!F78)</f>
        <v>384.15999999999991</v>
      </c>
      <c r="I78" s="4">
        <f>AVERAGEIFS(Agent_TimeSheets!G:G,Agent_TimeSheets!A:A,Pivot_Tables!F78)</f>
        <v>2.1294162797077907</v>
      </c>
    </row>
    <row r="79" spans="1:9" x14ac:dyDescent="0.35">
      <c r="A79" s="9" t="s">
        <v>20</v>
      </c>
      <c r="B79" s="18">
        <v>444</v>
      </c>
      <c r="C79" s="18">
        <v>255.64000000000001</v>
      </c>
      <c r="D79" s="4">
        <v>1.7873013007577399</v>
      </c>
      <c r="F79" t="s">
        <v>20</v>
      </c>
      <c r="G79">
        <f>SUMIFS(Agent_TimeSheets!D:D,Agent_TimeSheets!A:A,Pivot_Tables!F79)</f>
        <v>444</v>
      </c>
      <c r="H79">
        <f>SUMIFS(Agent_TimeSheets!C:C,Agent_TimeSheets!A:A,Pivot_Tables!F79)</f>
        <v>255.64</v>
      </c>
      <c r="I79" s="4">
        <f>AVERAGEIFS(Agent_TimeSheets!G:G,Agent_TimeSheets!A:A,Pivot_Tables!F79)</f>
        <v>1.7873013007577394</v>
      </c>
    </row>
    <row r="80" spans="1:9" x14ac:dyDescent="0.35">
      <c r="A80" s="9" t="s">
        <v>557</v>
      </c>
      <c r="B80" s="18">
        <v>3143</v>
      </c>
      <c r="C80" s="18">
        <v>1601.2300000000016</v>
      </c>
      <c r="D80" s="4">
        <v>2.0092522134123478</v>
      </c>
    </row>
    <row r="83" spans="1:7" x14ac:dyDescent="0.35">
      <c r="A83" s="17" t="s">
        <v>573</v>
      </c>
      <c r="B83" s="17"/>
      <c r="C83" s="1"/>
      <c r="D83" s="1"/>
      <c r="F83" s="17" t="s">
        <v>573</v>
      </c>
      <c r="G83" s="17"/>
    </row>
    <row r="84" spans="1:7" x14ac:dyDescent="0.35">
      <c r="A84" s="8" t="s">
        <v>568</v>
      </c>
      <c r="B84" t="s">
        <v>574</v>
      </c>
      <c r="F84" s="1" t="s">
        <v>568</v>
      </c>
      <c r="G84" s="1" t="s">
        <v>574</v>
      </c>
    </row>
    <row r="85" spans="1:7" x14ac:dyDescent="0.35">
      <c r="A85" s="9" t="s">
        <v>25</v>
      </c>
      <c r="B85">
        <v>16.61</v>
      </c>
      <c r="F85" t="s">
        <v>25</v>
      </c>
      <c r="G85">
        <f>SUMIFS(Agent_TimeSheets!F:F,Agent_TimeSheets!A:A,Pivot_Tables!F85)</f>
        <v>16.61</v>
      </c>
    </row>
    <row r="86" spans="1:7" x14ac:dyDescent="0.35">
      <c r="A86" s="9" t="s">
        <v>45</v>
      </c>
      <c r="B86">
        <v>19.75</v>
      </c>
      <c r="F86" t="s">
        <v>45</v>
      </c>
      <c r="G86">
        <f>SUMIFS(Agent_TimeSheets!F:F,Agent_TimeSheets!A:A,Pivot_Tables!F86)</f>
        <v>19.75</v>
      </c>
    </row>
    <row r="87" spans="1:7" x14ac:dyDescent="0.35">
      <c r="A87" s="9" t="s">
        <v>41</v>
      </c>
      <c r="B87">
        <v>19.61</v>
      </c>
      <c r="F87" t="s">
        <v>41</v>
      </c>
      <c r="G87">
        <f>SUMIFS(Agent_TimeSheets!F:F,Agent_TimeSheets!A:A,Pivot_Tables!F87)</f>
        <v>19.61</v>
      </c>
    </row>
    <row r="88" spans="1:7" x14ac:dyDescent="0.35">
      <c r="A88" s="9" t="s">
        <v>14</v>
      </c>
      <c r="B88">
        <v>28.990000000000002</v>
      </c>
      <c r="F88" t="s">
        <v>14</v>
      </c>
      <c r="G88">
        <f>SUMIFS(Agent_TimeSheets!F:F,Agent_TimeSheets!A:A,Pivot_Tables!F88)</f>
        <v>28.990000000000002</v>
      </c>
    </row>
    <row r="89" spans="1:7" x14ac:dyDescent="0.35">
      <c r="A89" s="9" t="s">
        <v>20</v>
      </c>
      <c r="B89">
        <v>16.439999999999998</v>
      </c>
      <c r="F89" t="s">
        <v>20</v>
      </c>
      <c r="G89">
        <f>SUMIFS(Agent_TimeSheets!F:F,Agent_TimeSheets!A:A,Pivot_Tables!F89)</f>
        <v>16.440000000000001</v>
      </c>
    </row>
    <row r="90" spans="1:7" x14ac:dyDescent="0.35">
      <c r="A90" s="9" t="s">
        <v>557</v>
      </c>
      <c r="B90">
        <v>101.4</v>
      </c>
    </row>
    <row r="93" spans="1:7" x14ac:dyDescent="0.35">
      <c r="A93" s="17" t="s">
        <v>597</v>
      </c>
      <c r="B93" s="17"/>
      <c r="F93" s="17" t="s">
        <v>597</v>
      </c>
      <c r="G93" s="17"/>
    </row>
    <row r="94" spans="1:7" x14ac:dyDescent="0.35">
      <c r="A94" s="8" t="s">
        <v>6</v>
      </c>
      <c r="B94" t="s">
        <v>560</v>
      </c>
      <c r="F94" s="1" t="s">
        <v>6</v>
      </c>
      <c r="G94" s="1" t="s">
        <v>560</v>
      </c>
    </row>
    <row r="95" spans="1:7" x14ac:dyDescent="0.35">
      <c r="A95" s="9" t="s">
        <v>26</v>
      </c>
      <c r="B95">
        <v>177</v>
      </c>
      <c r="F95" t="s">
        <v>26</v>
      </c>
      <c r="G95">
        <f>COUNTIFS(Support_Tickets!G:G,Pivot_Tables!F95)</f>
        <v>177</v>
      </c>
    </row>
    <row r="96" spans="1:7" x14ac:dyDescent="0.35">
      <c r="A96" s="9" t="s">
        <v>15</v>
      </c>
      <c r="B96">
        <v>159</v>
      </c>
      <c r="F96" t="s">
        <v>15</v>
      </c>
      <c r="G96">
        <f>COUNTIFS(Support_Tickets!G:G,Pivot_Tables!F96)</f>
        <v>159</v>
      </c>
    </row>
    <row r="97" spans="1:7" x14ac:dyDescent="0.35">
      <c r="A97" s="9" t="s">
        <v>21</v>
      </c>
      <c r="B97">
        <v>164</v>
      </c>
      <c r="F97" t="s">
        <v>21</v>
      </c>
      <c r="G97">
        <f>COUNTIFS(Support_Tickets!G:G,Pivot_Tables!F97)</f>
        <v>164</v>
      </c>
    </row>
    <row r="98" spans="1:7" x14ac:dyDescent="0.35">
      <c r="A98" s="9" t="s">
        <v>557</v>
      </c>
      <c r="B98">
        <v>500</v>
      </c>
    </row>
  </sheetData>
  <mergeCells count="20">
    <mergeCell ref="F1:H1"/>
    <mergeCell ref="F12:H12"/>
    <mergeCell ref="F73:I73"/>
    <mergeCell ref="A83:B83"/>
    <mergeCell ref="A93:B93"/>
    <mergeCell ref="A1:D1"/>
    <mergeCell ref="A11:D11"/>
    <mergeCell ref="A22:B22"/>
    <mergeCell ref="A32:B32"/>
    <mergeCell ref="A43:B43"/>
    <mergeCell ref="A53:B53"/>
    <mergeCell ref="F22:G22"/>
    <mergeCell ref="F43:G43"/>
    <mergeCell ref="F53:G53"/>
    <mergeCell ref="A63:B63"/>
    <mergeCell ref="A73:D73"/>
    <mergeCell ref="F63:G63"/>
    <mergeCell ref="F83:G83"/>
    <mergeCell ref="F93:G93"/>
    <mergeCell ref="F32:G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215D-B54E-4D7A-A964-075D95A37B73}">
  <dimension ref="A1"/>
  <sheetViews>
    <sheetView workbookViewId="0">
      <selection activeCell="I50" sqref="I5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6F77-EF0C-47F7-93A4-D468759AABD0}">
  <dimension ref="A1"/>
  <sheetViews>
    <sheetView workbookViewId="0">
      <selection activeCell="F14" sqref="F14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1"/>
  <sheetViews>
    <sheetView zoomScaleNormal="100" workbookViewId="0">
      <selection activeCell="D2" sqref="D2"/>
    </sheetView>
  </sheetViews>
  <sheetFormatPr defaultRowHeight="14.5" x14ac:dyDescent="0.35"/>
  <cols>
    <col min="1" max="1" width="13.36328125" bestFit="1" customWidth="1"/>
    <col min="2" max="2" width="9.453125" style="3" bestFit="1" customWidth="1"/>
    <col min="3" max="3" width="15.36328125" bestFit="1" customWidth="1"/>
    <col min="4" max="4" width="16.453125" bestFit="1" customWidth="1"/>
    <col min="5" max="5" width="15.1796875" bestFit="1" customWidth="1"/>
    <col min="6" max="6" width="16.453125" bestFit="1" customWidth="1"/>
    <col min="7" max="7" width="16.90625" style="4" bestFit="1" customWidth="1"/>
    <col min="8" max="8" width="13.54296875" style="7" bestFit="1" customWidth="1"/>
    <col min="9" max="9" width="17.6328125" style="4" bestFit="1" customWidth="1"/>
    <col min="10" max="10" width="16.90625" bestFit="1" customWidth="1"/>
    <col min="11" max="11" width="7.7265625" bestFit="1" customWidth="1"/>
    <col min="12" max="12" width="11.1796875" bestFit="1" customWidth="1"/>
    <col min="13" max="13" width="9.26953125" bestFit="1" customWidth="1"/>
    <col min="14" max="14" width="24.36328125" bestFit="1" customWidth="1"/>
  </cols>
  <sheetData>
    <row r="1" spans="1:14" x14ac:dyDescent="0.35">
      <c r="A1" s="1" t="s">
        <v>527</v>
      </c>
      <c r="B1" s="2" t="s">
        <v>528</v>
      </c>
      <c r="C1" s="1" t="s">
        <v>529</v>
      </c>
      <c r="D1" s="1" t="s">
        <v>530</v>
      </c>
      <c r="E1" s="1" t="s">
        <v>531</v>
      </c>
      <c r="F1" s="1" t="s">
        <v>532</v>
      </c>
      <c r="G1" s="5" t="s">
        <v>543</v>
      </c>
      <c r="H1" s="6" t="s">
        <v>544</v>
      </c>
      <c r="I1" s="5" t="s">
        <v>545</v>
      </c>
      <c r="J1" s="1" t="s">
        <v>533</v>
      </c>
      <c r="K1" s="1" t="s">
        <v>534</v>
      </c>
      <c r="L1" s="1" t="s">
        <v>593</v>
      </c>
      <c r="M1" s="1" t="s">
        <v>594</v>
      </c>
      <c r="N1" s="1" t="s">
        <v>9</v>
      </c>
    </row>
    <row r="2" spans="1:14" x14ac:dyDescent="0.35">
      <c r="A2" t="s">
        <v>20</v>
      </c>
      <c r="B2" s="3">
        <v>45739</v>
      </c>
      <c r="C2">
        <v>6.11</v>
      </c>
      <c r="D2">
        <v>14</v>
      </c>
      <c r="E2">
        <v>2.86</v>
      </c>
      <c r="F2">
        <v>0</v>
      </c>
      <c r="G2" s="4">
        <f>tblTime[[#This Row],[Tickets Handled]]/tblTime[[#This Row],[Hours Worked]]</f>
        <v>2.2913256955810146</v>
      </c>
      <c r="H2" s="7">
        <f>(tblTime[[#This Row],[Hours Worked]]-tblTime[[#This Row],[Idle Time (hrs)]])/tblTime[[#This Row],[Hours Worked]]</f>
        <v>0.53191489361702127</v>
      </c>
      <c r="I2" s="4">
        <f>tblTime[[#This Row],[Hours Worked]]-tblTime[[#This Row],[Idle Time (hrs)]]</f>
        <v>3.2500000000000004</v>
      </c>
      <c r="J2" t="str">
        <f>VLOOKUP(tblTime[[#This Row],[Agent Name]],tblAgents[[#All],[Agent Name]:[Experience Level]],2,FALSE)</f>
        <v>Junior</v>
      </c>
      <c r="K2" t="str">
        <f>VLOOKUP(tblTime[[#This Row],[Agent Name]],Agent_Info!A:C,3,FALSE)</f>
        <v>Team 2</v>
      </c>
      <c r="L2" t="str">
        <f>VLOOKUP(tblTime[[#This Row],[Agent Name]],Agent_Info!A:D,4,FALSE)</f>
        <v>edison</v>
      </c>
      <c r="M2" t="str">
        <f>VLOOKUP(tblTime[[#This Row],[Agent Name]],Agent_Info!$A:$E,5,FALSE)</f>
        <v>F</v>
      </c>
      <c r="N2">
        <f>SUMIFS(Support_Tickets!J:J, Support_Tickets!B:B, tblTime[[#This Row],[Date]],Support_Tickets!F:F,tblTime[[#This Row],[Agent Name]])</f>
        <v>15.01</v>
      </c>
    </row>
    <row r="3" spans="1:14" x14ac:dyDescent="0.35">
      <c r="A3" t="s">
        <v>41</v>
      </c>
      <c r="B3" s="3">
        <v>45692</v>
      </c>
      <c r="C3">
        <v>6.52</v>
      </c>
      <c r="D3">
        <v>13</v>
      </c>
      <c r="E3">
        <v>2.85</v>
      </c>
      <c r="F3">
        <v>0</v>
      </c>
      <c r="G3" s="4">
        <f>tblTime[[#This Row],[Tickets Handled]]/tblTime[[#This Row],[Hours Worked]]</f>
        <v>1.9938650306748467</v>
      </c>
      <c r="H3" s="7">
        <f>(tblTime[[#This Row],[Hours Worked]]-tblTime[[#This Row],[Idle Time (hrs)]])/tblTime[[#This Row],[Hours Worked]]</f>
        <v>0.56288343558282206</v>
      </c>
      <c r="I3" s="4">
        <f>tblTime[[#This Row],[Hours Worked]]-tblTime[[#This Row],[Idle Time (hrs)]]</f>
        <v>3.6699999999999995</v>
      </c>
      <c r="J3" t="str">
        <f>VLOOKUP(tblTime[[#This Row],[Agent Name]],tblAgents[[#All],[Agent Name]:[Experience Level]],2,FALSE)</f>
        <v>Junior</v>
      </c>
      <c r="K3" t="str">
        <f>VLOOKUP(tblTime[[#This Row],[Agent Name]],Agent_Info!A:C,3,FALSE)</f>
        <v>Team 1</v>
      </c>
      <c r="L3" t="str">
        <f>VLOOKUP(tblTime[[#This Row],[Agent Name]],Agent_Info!A:D,4,FALSE)</f>
        <v>richmond</v>
      </c>
      <c r="M3" t="str">
        <f>VLOOKUP(tblTime[[#This Row],[Agent Name]],Agent_Info!$A:$E,5,FALSE)</f>
        <v>F</v>
      </c>
      <c r="N3">
        <f>SUMIFS(Support_Tickets!J:J, Support_Tickets!B:B, tblTime[[#This Row],[Date]],Support_Tickets!F:F,tblTime[[#This Row],[Agent Name]])</f>
        <v>0</v>
      </c>
    </row>
    <row r="4" spans="1:14" x14ac:dyDescent="0.35">
      <c r="A4" t="s">
        <v>45</v>
      </c>
      <c r="B4" s="3">
        <v>45681</v>
      </c>
      <c r="C4">
        <v>6.13</v>
      </c>
      <c r="D4">
        <v>23</v>
      </c>
      <c r="E4">
        <v>2.65</v>
      </c>
      <c r="F4">
        <v>0</v>
      </c>
      <c r="G4" s="4">
        <f>tblTime[[#This Row],[Tickets Handled]]/tblTime[[#This Row],[Hours Worked]]</f>
        <v>3.7520391517128875</v>
      </c>
      <c r="H4" s="7">
        <f>(tblTime[[#This Row],[Hours Worked]]-tblTime[[#This Row],[Idle Time (hrs)]])/tblTime[[#This Row],[Hours Worked]]</f>
        <v>0.56769983686786296</v>
      </c>
      <c r="I4" s="4">
        <f>tblTime[[#This Row],[Hours Worked]]-tblTime[[#This Row],[Idle Time (hrs)]]</f>
        <v>3.48</v>
      </c>
      <c r="J4" t="str">
        <f>VLOOKUP(tblTime[[#This Row],[Agent Name]],tblAgents[[#All],[Agent Name]:[Experience Level]],2,FALSE)</f>
        <v>Junior</v>
      </c>
      <c r="K4" t="str">
        <f>VLOOKUP(tblTime[[#This Row],[Agent Name]],Agent_Info!A:C,3,FALSE)</f>
        <v>Team 1</v>
      </c>
      <c r="L4" t="str">
        <f>VLOOKUP(tblTime[[#This Row],[Agent Name]],Agent_Info!A:D,4,FALSE)</f>
        <v>new york</v>
      </c>
      <c r="M4" t="str">
        <f>VLOOKUP(tblTime[[#This Row],[Agent Name]],Agent_Info!$A:$E,5,FALSE)</f>
        <v>F</v>
      </c>
      <c r="N4">
        <f>SUMIFS(Support_Tickets!J:J, Support_Tickets!B:B, tblTime[[#This Row],[Date]],Support_Tickets!F:F,tblTime[[#This Row],[Agent Name]])</f>
        <v>2.4300000000000002</v>
      </c>
    </row>
    <row r="5" spans="1:14" x14ac:dyDescent="0.35">
      <c r="A5" t="s">
        <v>41</v>
      </c>
      <c r="B5" s="3">
        <v>45693</v>
      </c>
      <c r="C5">
        <v>6.96</v>
      </c>
      <c r="D5">
        <v>23</v>
      </c>
      <c r="E5">
        <v>2.95</v>
      </c>
      <c r="F5">
        <v>0</v>
      </c>
      <c r="G5" s="4">
        <f>tblTime[[#This Row],[Tickets Handled]]/tblTime[[#This Row],[Hours Worked]]</f>
        <v>3.3045977011494254</v>
      </c>
      <c r="H5" s="7">
        <f>(tblTime[[#This Row],[Hours Worked]]-tblTime[[#This Row],[Idle Time (hrs)]])/tblTime[[#This Row],[Hours Worked]]</f>
        <v>0.57614942528735624</v>
      </c>
      <c r="I5" s="4">
        <f>tblTime[[#This Row],[Hours Worked]]-tblTime[[#This Row],[Idle Time (hrs)]]</f>
        <v>4.01</v>
      </c>
      <c r="J5" t="str">
        <f>VLOOKUP(tblTime[[#This Row],[Agent Name]],tblAgents[[#All],[Agent Name]:[Experience Level]],2,FALSE)</f>
        <v>Junior</v>
      </c>
      <c r="K5" t="str">
        <f>VLOOKUP(tblTime[[#This Row],[Agent Name]],Agent_Info!A:C,3,FALSE)</f>
        <v>Team 1</v>
      </c>
      <c r="L5" t="str">
        <f>VLOOKUP(tblTime[[#This Row],[Agent Name]],Agent_Info!A:D,4,FALSE)</f>
        <v>richmond</v>
      </c>
      <c r="M5" t="str">
        <f>VLOOKUP(tblTime[[#This Row],[Agent Name]],Agent_Info!$A:$E,5,FALSE)</f>
        <v>F</v>
      </c>
      <c r="N5">
        <f>SUMIFS(Support_Tickets!J:J, Support_Tickets!B:B, tblTime[[#This Row],[Date]],Support_Tickets!F:F,tblTime[[#This Row],[Agent Name]])</f>
        <v>4.66</v>
      </c>
    </row>
    <row r="6" spans="1:14" x14ac:dyDescent="0.35">
      <c r="A6" t="s">
        <v>41</v>
      </c>
      <c r="B6" s="3">
        <v>45688</v>
      </c>
      <c r="C6">
        <v>6.79</v>
      </c>
      <c r="D6">
        <v>22</v>
      </c>
      <c r="E6">
        <v>2.7</v>
      </c>
      <c r="F6">
        <v>0</v>
      </c>
      <c r="G6" s="4">
        <f>tblTime[[#This Row],[Tickets Handled]]/tblTime[[#This Row],[Hours Worked]]</f>
        <v>3.240058910162003</v>
      </c>
      <c r="H6" s="7">
        <f>(tblTime[[#This Row],[Hours Worked]]-tblTime[[#This Row],[Idle Time (hrs)]])/tblTime[[#This Row],[Hours Worked]]</f>
        <v>0.60235640648011779</v>
      </c>
      <c r="I6" s="4">
        <f>tblTime[[#This Row],[Hours Worked]]-tblTime[[#This Row],[Idle Time (hrs)]]</f>
        <v>4.09</v>
      </c>
      <c r="J6" t="str">
        <f>VLOOKUP(tblTime[[#This Row],[Agent Name]],tblAgents[[#All],[Agent Name]:[Experience Level]],2,FALSE)</f>
        <v>Junior</v>
      </c>
      <c r="K6" t="str">
        <f>VLOOKUP(tblTime[[#This Row],[Agent Name]],Agent_Info!A:C,3,FALSE)</f>
        <v>Team 1</v>
      </c>
      <c r="L6" t="str">
        <f>VLOOKUP(tblTime[[#This Row],[Agent Name]],Agent_Info!A:D,4,FALSE)</f>
        <v>richmond</v>
      </c>
      <c r="M6" t="str">
        <f>VLOOKUP(tblTime[[#This Row],[Agent Name]],Agent_Info!$A:$E,5,FALSE)</f>
        <v>F</v>
      </c>
      <c r="N6">
        <f>SUMIFS(Support_Tickets!J:J, Support_Tickets!B:B, tblTime[[#This Row],[Date]],Support_Tickets!F:F,tblTime[[#This Row],[Agent Name]])</f>
        <v>12.35</v>
      </c>
    </row>
    <row r="7" spans="1:14" x14ac:dyDescent="0.35">
      <c r="A7" t="s">
        <v>25</v>
      </c>
      <c r="B7" s="3">
        <v>45702</v>
      </c>
      <c r="C7">
        <v>6.24</v>
      </c>
      <c r="D7">
        <v>9</v>
      </c>
      <c r="E7">
        <v>2.48</v>
      </c>
      <c r="F7">
        <v>0</v>
      </c>
      <c r="G7" s="4">
        <f>tblTime[[#This Row],[Tickets Handled]]/tblTime[[#This Row],[Hours Worked]]</f>
        <v>1.4423076923076923</v>
      </c>
      <c r="H7" s="7">
        <f>(tblTime[[#This Row],[Hours Worked]]-tblTime[[#This Row],[Idle Time (hrs)]])/tblTime[[#This Row],[Hours Worked]]</f>
        <v>0.60256410256410253</v>
      </c>
      <c r="I7" s="4">
        <f>tblTime[[#This Row],[Hours Worked]]-tblTime[[#This Row],[Idle Time (hrs)]]</f>
        <v>3.7600000000000002</v>
      </c>
      <c r="J7" t="str">
        <f>VLOOKUP(tblTime[[#This Row],[Agent Name]],tblAgents[[#All],[Agent Name]:[Experience Level]],2,FALSE)</f>
        <v>Mid</v>
      </c>
      <c r="K7" t="str">
        <f>VLOOKUP(tblTime[[#This Row],[Agent Name]],Agent_Info!A:C,3,FALSE)</f>
        <v>Team 2</v>
      </c>
      <c r="L7" t="str">
        <f>VLOOKUP(tblTime[[#This Row],[Agent Name]],Agent_Info!A:D,4,FALSE)</f>
        <v>dallas</v>
      </c>
      <c r="M7" t="str">
        <f>VLOOKUP(tblTime[[#This Row],[Agent Name]],Agent_Info!$A:$E,5,FALSE)</f>
        <v>M</v>
      </c>
      <c r="N7">
        <f>SUMIFS(Support_Tickets!J:J, Support_Tickets!B:B, tblTime[[#This Row],[Date]],Support_Tickets!F:F,tblTime[[#This Row],[Agent Name]])</f>
        <v>18.52</v>
      </c>
    </row>
    <row r="8" spans="1:14" x14ac:dyDescent="0.35">
      <c r="A8" t="s">
        <v>14</v>
      </c>
      <c r="B8" s="3">
        <v>45738</v>
      </c>
      <c r="C8">
        <v>7.29</v>
      </c>
      <c r="D8">
        <v>23</v>
      </c>
      <c r="E8">
        <v>2.88</v>
      </c>
      <c r="F8">
        <v>0</v>
      </c>
      <c r="G8" s="4">
        <f>tblTime[[#This Row],[Tickets Handled]]/tblTime[[#This Row],[Hours Worked]]</f>
        <v>3.1550068587105624</v>
      </c>
      <c r="H8" s="7">
        <f>(tblTime[[#This Row],[Hours Worked]]-tblTime[[#This Row],[Idle Time (hrs)]])/tblTime[[#This Row],[Hours Worked]]</f>
        <v>0.60493827160493829</v>
      </c>
      <c r="I8" s="4">
        <f>tblTime[[#This Row],[Hours Worked]]-tblTime[[#This Row],[Idle Time (hrs)]]</f>
        <v>4.41</v>
      </c>
      <c r="J8" t="str">
        <f>VLOOKUP(tblTime[[#This Row],[Agent Name]],tblAgents[[#All],[Agent Name]:[Experience Level]],2,FALSE)</f>
        <v>Senior</v>
      </c>
      <c r="K8" t="str">
        <f>VLOOKUP(tblTime[[#This Row],[Agent Name]],Agent_Info!A:C,3,FALSE)</f>
        <v>Team 2</v>
      </c>
      <c r="L8" t="str">
        <f>VLOOKUP(tblTime[[#This Row],[Agent Name]],Agent_Info!A:D,4,FALSE)</f>
        <v>hillsborough</v>
      </c>
      <c r="M8" t="str">
        <f>VLOOKUP(tblTime[[#This Row],[Agent Name]],Agent_Info!$A:$E,5,FALSE)</f>
        <v>M</v>
      </c>
      <c r="N8">
        <f>SUMIFS(Support_Tickets!J:J, Support_Tickets!B:B, tblTime[[#This Row],[Date]],Support_Tickets!F:F,tblTime[[#This Row],[Agent Name]])</f>
        <v>20.18</v>
      </c>
    </row>
    <row r="9" spans="1:14" x14ac:dyDescent="0.35">
      <c r="A9" t="s">
        <v>45</v>
      </c>
      <c r="B9" s="3">
        <v>45696</v>
      </c>
      <c r="C9">
        <v>6.9</v>
      </c>
      <c r="D9">
        <v>19</v>
      </c>
      <c r="E9">
        <v>2.67</v>
      </c>
      <c r="F9">
        <v>0</v>
      </c>
      <c r="G9" s="4">
        <f>tblTime[[#This Row],[Tickets Handled]]/tblTime[[#This Row],[Hours Worked]]</f>
        <v>2.7536231884057969</v>
      </c>
      <c r="H9" s="7">
        <f>(tblTime[[#This Row],[Hours Worked]]-tblTime[[#This Row],[Idle Time (hrs)]])/tblTime[[#This Row],[Hours Worked]]</f>
        <v>0.61304347826086958</v>
      </c>
      <c r="I9" s="4">
        <f>tblTime[[#This Row],[Hours Worked]]-tblTime[[#This Row],[Idle Time (hrs)]]</f>
        <v>4.2300000000000004</v>
      </c>
      <c r="J9" t="str">
        <f>VLOOKUP(tblTime[[#This Row],[Agent Name]],tblAgents[[#All],[Agent Name]:[Experience Level]],2,FALSE)</f>
        <v>Junior</v>
      </c>
      <c r="K9" t="str">
        <f>VLOOKUP(tblTime[[#This Row],[Agent Name]],Agent_Info!A:C,3,FALSE)</f>
        <v>Team 1</v>
      </c>
      <c r="L9" t="str">
        <f>VLOOKUP(tblTime[[#This Row],[Agent Name]],Agent_Info!A:D,4,FALSE)</f>
        <v>new york</v>
      </c>
      <c r="M9" t="str">
        <f>VLOOKUP(tblTime[[#This Row],[Agent Name]],Agent_Info!$A:$E,5,FALSE)</f>
        <v>F</v>
      </c>
      <c r="N9">
        <f>SUMIFS(Support_Tickets!J:J, Support_Tickets!B:B, tblTime[[#This Row],[Date]],Support_Tickets!F:F,tblTime[[#This Row],[Agent Name]])</f>
        <v>0</v>
      </c>
    </row>
    <row r="10" spans="1:14" x14ac:dyDescent="0.35">
      <c r="A10" t="s">
        <v>45</v>
      </c>
      <c r="B10" s="3">
        <v>45679</v>
      </c>
      <c r="C10">
        <v>6.2</v>
      </c>
      <c r="D10">
        <v>5</v>
      </c>
      <c r="E10">
        <v>2.38</v>
      </c>
      <c r="F10">
        <v>0</v>
      </c>
      <c r="G10" s="4">
        <f>tblTime[[#This Row],[Tickets Handled]]/tblTime[[#This Row],[Hours Worked]]</f>
        <v>0.80645161290322576</v>
      </c>
      <c r="H10" s="7">
        <f>(tblTime[[#This Row],[Hours Worked]]-tblTime[[#This Row],[Idle Time (hrs)]])/tblTime[[#This Row],[Hours Worked]]</f>
        <v>0.61612903225806459</v>
      </c>
      <c r="I10" s="4">
        <f>tblTime[[#This Row],[Hours Worked]]-tblTime[[#This Row],[Idle Time (hrs)]]</f>
        <v>3.8200000000000003</v>
      </c>
      <c r="J10" t="str">
        <f>VLOOKUP(tblTime[[#This Row],[Agent Name]],tblAgents[[#All],[Agent Name]:[Experience Level]],2,FALSE)</f>
        <v>Junior</v>
      </c>
      <c r="K10" t="str">
        <f>VLOOKUP(tblTime[[#This Row],[Agent Name]],Agent_Info!A:C,3,FALSE)</f>
        <v>Team 1</v>
      </c>
      <c r="L10" t="str">
        <f>VLOOKUP(tblTime[[#This Row],[Agent Name]],Agent_Info!A:D,4,FALSE)</f>
        <v>new york</v>
      </c>
      <c r="M10" t="str">
        <f>VLOOKUP(tblTime[[#This Row],[Agent Name]],Agent_Info!$A:$E,5,FALSE)</f>
        <v>F</v>
      </c>
      <c r="N10">
        <f>SUMIFS(Support_Tickets!J:J, Support_Tickets!B:B, tblTime[[#This Row],[Date]],Support_Tickets!F:F,tblTime[[#This Row],[Agent Name]])</f>
        <v>1.0900000000000001</v>
      </c>
    </row>
    <row r="11" spans="1:14" x14ac:dyDescent="0.35">
      <c r="A11" t="s">
        <v>14</v>
      </c>
      <c r="B11" s="3">
        <v>45721</v>
      </c>
      <c r="C11">
        <v>7.09</v>
      </c>
      <c r="D11">
        <v>18</v>
      </c>
      <c r="E11">
        <v>2.7</v>
      </c>
      <c r="F11">
        <v>0</v>
      </c>
      <c r="G11" s="4">
        <f>tblTime[[#This Row],[Tickets Handled]]/tblTime[[#This Row],[Hours Worked]]</f>
        <v>2.5387870239774331</v>
      </c>
      <c r="H11" s="7">
        <f>(tblTime[[#This Row],[Hours Worked]]-tblTime[[#This Row],[Idle Time (hrs)]])/tblTime[[#This Row],[Hours Worked]]</f>
        <v>0.61918194640338498</v>
      </c>
      <c r="I11" s="4">
        <f>tblTime[[#This Row],[Hours Worked]]-tblTime[[#This Row],[Idle Time (hrs)]]</f>
        <v>4.3899999999999997</v>
      </c>
      <c r="J11" t="str">
        <f>VLOOKUP(tblTime[[#This Row],[Agent Name]],tblAgents[[#All],[Agent Name]:[Experience Level]],2,FALSE)</f>
        <v>Senior</v>
      </c>
      <c r="K11" t="str">
        <f>VLOOKUP(tblTime[[#This Row],[Agent Name]],Agent_Info!A:C,3,FALSE)</f>
        <v>Team 2</v>
      </c>
      <c r="L11" t="str">
        <f>VLOOKUP(tblTime[[#This Row],[Agent Name]],Agent_Info!A:D,4,FALSE)</f>
        <v>hillsborough</v>
      </c>
      <c r="M11" t="str">
        <f>VLOOKUP(tblTime[[#This Row],[Agent Name]],Agent_Info!$A:$E,5,FALSE)</f>
        <v>M</v>
      </c>
      <c r="N11">
        <f>SUMIFS(Support_Tickets!J:J, Support_Tickets!B:B, tblTime[[#This Row],[Date]],Support_Tickets!F:F,tblTime[[#This Row],[Agent Name]])</f>
        <v>7.66</v>
      </c>
    </row>
    <row r="12" spans="1:14" x14ac:dyDescent="0.35">
      <c r="A12" t="s">
        <v>20</v>
      </c>
      <c r="B12" s="3">
        <v>45698</v>
      </c>
      <c r="C12">
        <v>7.89</v>
      </c>
      <c r="D12">
        <v>8</v>
      </c>
      <c r="E12">
        <v>2.96</v>
      </c>
      <c r="F12">
        <v>0</v>
      </c>
      <c r="G12" s="4">
        <f>tblTime[[#This Row],[Tickets Handled]]/tblTime[[#This Row],[Hours Worked]]</f>
        <v>1.0139416983523448</v>
      </c>
      <c r="H12" s="7">
        <f>(tblTime[[#This Row],[Hours Worked]]-tblTime[[#This Row],[Idle Time (hrs)]])/tblTime[[#This Row],[Hours Worked]]</f>
        <v>0.62484157160963238</v>
      </c>
      <c r="I12" s="4">
        <f>tblTime[[#This Row],[Hours Worked]]-tblTime[[#This Row],[Idle Time (hrs)]]</f>
        <v>4.93</v>
      </c>
      <c r="J12" t="str">
        <f>VLOOKUP(tblTime[[#This Row],[Agent Name]],tblAgents[[#All],[Agent Name]:[Experience Level]],2,FALSE)</f>
        <v>Junior</v>
      </c>
      <c r="K12" t="str">
        <f>VLOOKUP(tblTime[[#This Row],[Agent Name]],Agent_Info!A:C,3,FALSE)</f>
        <v>Team 2</v>
      </c>
      <c r="L12" t="str">
        <f>VLOOKUP(tblTime[[#This Row],[Agent Name]],Agent_Info!A:D,4,FALSE)</f>
        <v>edison</v>
      </c>
      <c r="M12" t="str">
        <f>VLOOKUP(tblTime[[#This Row],[Agent Name]],Agent_Info!$A:$E,5,FALSE)</f>
        <v>F</v>
      </c>
      <c r="N12">
        <f>SUMIFS(Support_Tickets!J:J, Support_Tickets!B:B, tblTime[[#This Row],[Date]],Support_Tickets!F:F,tblTime[[#This Row],[Agent Name]])</f>
        <v>0</v>
      </c>
    </row>
    <row r="13" spans="1:14" x14ac:dyDescent="0.35">
      <c r="A13" t="s">
        <v>41</v>
      </c>
      <c r="B13" s="3">
        <v>45673</v>
      </c>
      <c r="C13">
        <v>6.81</v>
      </c>
      <c r="D13">
        <v>14</v>
      </c>
      <c r="E13">
        <v>2.54</v>
      </c>
      <c r="F13">
        <v>0</v>
      </c>
      <c r="G13" s="4">
        <f>tblTime[[#This Row],[Tickets Handled]]/tblTime[[#This Row],[Hours Worked]]</f>
        <v>2.0558002936857562</v>
      </c>
      <c r="H13" s="7">
        <f>(tblTime[[#This Row],[Hours Worked]]-tblTime[[#This Row],[Idle Time (hrs)]])/tblTime[[#This Row],[Hours Worked]]</f>
        <v>0.62701908957415564</v>
      </c>
      <c r="I13" s="4">
        <f>tblTime[[#This Row],[Hours Worked]]-tblTime[[#This Row],[Idle Time (hrs)]]</f>
        <v>4.2699999999999996</v>
      </c>
      <c r="J13" t="str">
        <f>VLOOKUP(tblTime[[#This Row],[Agent Name]],tblAgents[[#All],[Agent Name]:[Experience Level]],2,FALSE)</f>
        <v>Junior</v>
      </c>
      <c r="K13" t="str">
        <f>VLOOKUP(tblTime[[#This Row],[Agent Name]],Agent_Info!A:C,3,FALSE)</f>
        <v>Team 1</v>
      </c>
      <c r="L13" t="str">
        <f>VLOOKUP(tblTime[[#This Row],[Agent Name]],Agent_Info!A:D,4,FALSE)</f>
        <v>richmond</v>
      </c>
      <c r="M13" t="str">
        <f>VLOOKUP(tblTime[[#This Row],[Agent Name]],Agent_Info!$A:$E,5,FALSE)</f>
        <v>F</v>
      </c>
      <c r="N13">
        <f>SUMIFS(Support_Tickets!J:J, Support_Tickets!B:B, tblTime[[#This Row],[Date]],Support_Tickets!F:F,tblTime[[#This Row],[Agent Name]])</f>
        <v>2.91</v>
      </c>
    </row>
    <row r="14" spans="1:14" x14ac:dyDescent="0.35">
      <c r="A14" t="s">
        <v>14</v>
      </c>
      <c r="B14" s="3">
        <v>45720</v>
      </c>
      <c r="C14">
        <v>6.49</v>
      </c>
      <c r="D14">
        <v>22</v>
      </c>
      <c r="E14">
        <v>2.4</v>
      </c>
      <c r="F14">
        <v>0</v>
      </c>
      <c r="G14" s="4">
        <f>tblTime[[#This Row],[Tickets Handled]]/tblTime[[#This Row],[Hours Worked]]</f>
        <v>3.3898305084745761</v>
      </c>
      <c r="H14" s="7">
        <f>(tblTime[[#This Row],[Hours Worked]]-tblTime[[#This Row],[Idle Time (hrs)]])/tblTime[[#This Row],[Hours Worked]]</f>
        <v>0.63020030816640982</v>
      </c>
      <c r="I14" s="4">
        <f>tblTime[[#This Row],[Hours Worked]]-tblTime[[#This Row],[Idle Time (hrs)]]</f>
        <v>4.09</v>
      </c>
      <c r="J14" t="str">
        <f>VLOOKUP(tblTime[[#This Row],[Agent Name]],tblAgents[[#All],[Agent Name]:[Experience Level]],2,FALSE)</f>
        <v>Senior</v>
      </c>
      <c r="K14" t="str">
        <f>VLOOKUP(tblTime[[#This Row],[Agent Name]],Agent_Info!A:C,3,FALSE)</f>
        <v>Team 2</v>
      </c>
      <c r="L14" t="str">
        <f>VLOOKUP(tblTime[[#This Row],[Agent Name]],Agent_Info!A:D,4,FALSE)</f>
        <v>hillsborough</v>
      </c>
      <c r="M14" t="str">
        <f>VLOOKUP(tblTime[[#This Row],[Agent Name]],Agent_Info!$A:$E,5,FALSE)</f>
        <v>M</v>
      </c>
      <c r="N14">
        <f>SUMIFS(Support_Tickets!J:J, Support_Tickets!B:B, tblTime[[#This Row],[Date]],Support_Tickets!F:F,tblTime[[#This Row],[Agent Name]])</f>
        <v>0</v>
      </c>
    </row>
    <row r="15" spans="1:14" x14ac:dyDescent="0.35">
      <c r="A15" t="s">
        <v>41</v>
      </c>
      <c r="B15" s="3">
        <v>45696</v>
      </c>
      <c r="C15">
        <v>7.12</v>
      </c>
      <c r="D15">
        <v>9</v>
      </c>
      <c r="E15">
        <v>2.61</v>
      </c>
      <c r="F15">
        <v>0</v>
      </c>
      <c r="G15" s="4">
        <f>tblTime[[#This Row],[Tickets Handled]]/tblTime[[#This Row],[Hours Worked]]</f>
        <v>1.2640449438202248</v>
      </c>
      <c r="H15" s="7">
        <f>(tblTime[[#This Row],[Hours Worked]]-tblTime[[#This Row],[Idle Time (hrs)]])/tblTime[[#This Row],[Hours Worked]]</f>
        <v>0.6334269662921348</v>
      </c>
      <c r="I15" s="4">
        <f>tblTime[[#This Row],[Hours Worked]]-tblTime[[#This Row],[Idle Time (hrs)]]</f>
        <v>4.51</v>
      </c>
      <c r="J15" t="str">
        <f>VLOOKUP(tblTime[[#This Row],[Agent Name]],tblAgents[[#All],[Agent Name]:[Experience Level]],2,FALSE)</f>
        <v>Junior</v>
      </c>
      <c r="K15" t="str">
        <f>VLOOKUP(tblTime[[#This Row],[Agent Name]],Agent_Info!A:C,3,FALSE)</f>
        <v>Team 1</v>
      </c>
      <c r="L15" t="str">
        <f>VLOOKUP(tblTime[[#This Row],[Agent Name]],Agent_Info!A:D,4,FALSE)</f>
        <v>richmond</v>
      </c>
      <c r="M15" t="str">
        <f>VLOOKUP(tblTime[[#This Row],[Agent Name]],Agent_Info!$A:$E,5,FALSE)</f>
        <v>F</v>
      </c>
      <c r="N15">
        <f>SUMIFS(Support_Tickets!J:J, Support_Tickets!B:B, tblTime[[#This Row],[Date]],Support_Tickets!F:F,tblTime[[#This Row],[Agent Name]])</f>
        <v>6.28</v>
      </c>
    </row>
    <row r="16" spans="1:14" x14ac:dyDescent="0.35">
      <c r="A16" t="s">
        <v>25</v>
      </c>
      <c r="B16" s="3">
        <v>45683</v>
      </c>
      <c r="C16">
        <v>7.13</v>
      </c>
      <c r="D16">
        <v>16</v>
      </c>
      <c r="E16">
        <v>2.57</v>
      </c>
      <c r="F16">
        <v>0</v>
      </c>
      <c r="G16" s="4">
        <f>tblTime[[#This Row],[Tickets Handled]]/tblTime[[#This Row],[Hours Worked]]</f>
        <v>2.244039270687237</v>
      </c>
      <c r="H16" s="7">
        <f>(tblTime[[#This Row],[Hours Worked]]-tblTime[[#This Row],[Idle Time (hrs)]])/tblTime[[#This Row],[Hours Worked]]</f>
        <v>0.63955119214586265</v>
      </c>
      <c r="I16" s="4">
        <f>tblTime[[#This Row],[Hours Worked]]-tblTime[[#This Row],[Idle Time (hrs)]]</f>
        <v>4.5600000000000005</v>
      </c>
      <c r="J16" t="str">
        <f>VLOOKUP(tblTime[[#This Row],[Agent Name]],tblAgents[[#All],[Agent Name]:[Experience Level]],2,FALSE)</f>
        <v>Mid</v>
      </c>
      <c r="K16" t="str">
        <f>VLOOKUP(tblTime[[#This Row],[Agent Name]],Agent_Info!A:C,3,FALSE)</f>
        <v>Team 2</v>
      </c>
      <c r="L16" t="str">
        <f>VLOOKUP(tblTime[[#This Row],[Agent Name]],Agent_Info!A:D,4,FALSE)</f>
        <v>dallas</v>
      </c>
      <c r="M16" t="str">
        <f>VLOOKUP(tblTime[[#This Row],[Agent Name]],Agent_Info!$A:$E,5,FALSE)</f>
        <v>M</v>
      </c>
      <c r="N16">
        <f>SUMIFS(Support_Tickets!J:J, Support_Tickets!B:B, tblTime[[#This Row],[Date]],Support_Tickets!F:F,tblTime[[#This Row],[Agent Name]])</f>
        <v>0</v>
      </c>
    </row>
    <row r="17" spans="1:14" x14ac:dyDescent="0.35">
      <c r="A17" t="s">
        <v>25</v>
      </c>
      <c r="B17" s="3">
        <v>45719</v>
      </c>
      <c r="C17">
        <v>7.97</v>
      </c>
      <c r="D17">
        <v>25</v>
      </c>
      <c r="E17">
        <v>2.85</v>
      </c>
      <c r="F17">
        <v>0</v>
      </c>
      <c r="G17" s="4">
        <f>tblTime[[#This Row],[Tickets Handled]]/tblTime[[#This Row],[Hours Worked]]</f>
        <v>3.1367628607277291</v>
      </c>
      <c r="H17" s="7">
        <f>(tblTime[[#This Row],[Hours Worked]]-tblTime[[#This Row],[Idle Time (hrs)]])/tblTime[[#This Row],[Hours Worked]]</f>
        <v>0.64240903387703885</v>
      </c>
      <c r="I17" s="4">
        <f>tblTime[[#This Row],[Hours Worked]]-tblTime[[#This Row],[Idle Time (hrs)]]</f>
        <v>5.1199999999999992</v>
      </c>
      <c r="J17" t="str">
        <f>VLOOKUP(tblTime[[#This Row],[Agent Name]],tblAgents[[#All],[Agent Name]:[Experience Level]],2,FALSE)</f>
        <v>Mid</v>
      </c>
      <c r="K17" t="str">
        <f>VLOOKUP(tblTime[[#This Row],[Agent Name]],Agent_Info!A:C,3,FALSE)</f>
        <v>Team 2</v>
      </c>
      <c r="L17" t="str">
        <f>VLOOKUP(tblTime[[#This Row],[Agent Name]],Agent_Info!A:D,4,FALSE)</f>
        <v>dallas</v>
      </c>
      <c r="M17" t="str">
        <f>VLOOKUP(tblTime[[#This Row],[Agent Name]],Agent_Info!$A:$E,5,FALSE)</f>
        <v>M</v>
      </c>
      <c r="N17">
        <f>SUMIFS(Support_Tickets!J:J, Support_Tickets!B:B, tblTime[[#This Row],[Date]],Support_Tickets!F:F,tblTime[[#This Row],[Agent Name]])</f>
        <v>11.07</v>
      </c>
    </row>
    <row r="18" spans="1:14" x14ac:dyDescent="0.35">
      <c r="A18" t="s">
        <v>14</v>
      </c>
      <c r="B18" s="3">
        <v>45663</v>
      </c>
      <c r="C18">
        <v>7.67</v>
      </c>
      <c r="D18">
        <v>19</v>
      </c>
      <c r="E18">
        <v>2.74</v>
      </c>
      <c r="F18">
        <v>0</v>
      </c>
      <c r="G18" s="4">
        <f>tblTime[[#This Row],[Tickets Handled]]/tblTime[[#This Row],[Hours Worked]]</f>
        <v>2.4771838331160367</v>
      </c>
      <c r="H18" s="7">
        <f>(tblTime[[#This Row],[Hours Worked]]-tblTime[[#This Row],[Idle Time (hrs)]])/tblTime[[#This Row],[Hours Worked]]</f>
        <v>0.64276401564537156</v>
      </c>
      <c r="I18" s="4">
        <f>tblTime[[#This Row],[Hours Worked]]-tblTime[[#This Row],[Idle Time (hrs)]]</f>
        <v>4.93</v>
      </c>
      <c r="J18" t="str">
        <f>VLOOKUP(tblTime[[#This Row],[Agent Name]],tblAgents[[#All],[Agent Name]:[Experience Level]],2,FALSE)</f>
        <v>Senior</v>
      </c>
      <c r="K18" t="str">
        <f>VLOOKUP(tblTime[[#This Row],[Agent Name]],Agent_Info!A:C,3,FALSE)</f>
        <v>Team 2</v>
      </c>
      <c r="L18" t="str">
        <f>VLOOKUP(tblTime[[#This Row],[Agent Name]],Agent_Info!A:D,4,FALSE)</f>
        <v>hillsborough</v>
      </c>
      <c r="M18" t="str">
        <f>VLOOKUP(tblTime[[#This Row],[Agent Name]],Agent_Info!$A:$E,5,FALSE)</f>
        <v>M</v>
      </c>
      <c r="N18">
        <f>SUMIFS(Support_Tickets!J:J, Support_Tickets!B:B, tblTime[[#This Row],[Date]],Support_Tickets!F:F,tblTime[[#This Row],[Agent Name]])</f>
        <v>5.72</v>
      </c>
    </row>
    <row r="19" spans="1:14" x14ac:dyDescent="0.35">
      <c r="A19" t="s">
        <v>25</v>
      </c>
      <c r="B19" s="3">
        <v>45729</v>
      </c>
      <c r="C19">
        <v>7.61</v>
      </c>
      <c r="D19">
        <v>7</v>
      </c>
      <c r="E19">
        <v>2.71</v>
      </c>
      <c r="F19">
        <v>0</v>
      </c>
      <c r="G19" s="4">
        <f>tblTime[[#This Row],[Tickets Handled]]/tblTime[[#This Row],[Hours Worked]]</f>
        <v>0.91984231274638628</v>
      </c>
      <c r="H19" s="7">
        <f>(tblTime[[#This Row],[Hours Worked]]-tblTime[[#This Row],[Idle Time (hrs)]])/tblTime[[#This Row],[Hours Worked]]</f>
        <v>0.64388961892247043</v>
      </c>
      <c r="I19" s="4">
        <f>tblTime[[#This Row],[Hours Worked]]-tblTime[[#This Row],[Idle Time (hrs)]]</f>
        <v>4.9000000000000004</v>
      </c>
      <c r="J19" t="str">
        <f>VLOOKUP(tblTime[[#This Row],[Agent Name]],tblAgents[[#All],[Agent Name]:[Experience Level]],2,FALSE)</f>
        <v>Mid</v>
      </c>
      <c r="K19" t="str">
        <f>VLOOKUP(tblTime[[#This Row],[Agent Name]],Agent_Info!A:C,3,FALSE)</f>
        <v>Team 2</v>
      </c>
      <c r="L19" t="str">
        <f>VLOOKUP(tblTime[[#This Row],[Agent Name]],Agent_Info!A:D,4,FALSE)</f>
        <v>dallas</v>
      </c>
      <c r="M19" t="str">
        <f>VLOOKUP(tblTime[[#This Row],[Agent Name]],Agent_Info!$A:$E,5,FALSE)</f>
        <v>M</v>
      </c>
      <c r="N19">
        <f>SUMIFS(Support_Tickets!J:J, Support_Tickets!B:B, tblTime[[#This Row],[Date]],Support_Tickets!F:F,tblTime[[#This Row],[Agent Name]])</f>
        <v>3.66</v>
      </c>
    </row>
    <row r="20" spans="1:14" x14ac:dyDescent="0.35">
      <c r="A20" t="s">
        <v>20</v>
      </c>
      <c r="B20" s="3">
        <v>45720</v>
      </c>
      <c r="C20">
        <v>8</v>
      </c>
      <c r="D20">
        <v>12</v>
      </c>
      <c r="E20">
        <v>2.82</v>
      </c>
      <c r="F20">
        <v>0</v>
      </c>
      <c r="G20" s="4">
        <f>tblTime[[#This Row],[Tickets Handled]]/tblTime[[#This Row],[Hours Worked]]</f>
        <v>1.5</v>
      </c>
      <c r="H20" s="7">
        <f>(tblTime[[#This Row],[Hours Worked]]-tblTime[[#This Row],[Idle Time (hrs)]])/tblTime[[#This Row],[Hours Worked]]</f>
        <v>0.64749999999999996</v>
      </c>
      <c r="I20" s="4">
        <f>tblTime[[#This Row],[Hours Worked]]-tblTime[[#This Row],[Idle Time (hrs)]]</f>
        <v>5.18</v>
      </c>
      <c r="J20" t="str">
        <f>VLOOKUP(tblTime[[#This Row],[Agent Name]],tblAgents[[#All],[Agent Name]:[Experience Level]],2,FALSE)</f>
        <v>Junior</v>
      </c>
      <c r="K20" t="str">
        <f>VLOOKUP(tblTime[[#This Row],[Agent Name]],Agent_Info!A:C,3,FALSE)</f>
        <v>Team 2</v>
      </c>
      <c r="L20" t="str">
        <f>VLOOKUP(tblTime[[#This Row],[Agent Name]],Agent_Info!A:D,4,FALSE)</f>
        <v>edison</v>
      </c>
      <c r="M20" t="str">
        <f>VLOOKUP(tblTime[[#This Row],[Agent Name]],Agent_Info!$A:$E,5,FALSE)</f>
        <v>F</v>
      </c>
      <c r="N20">
        <f>SUMIFS(Support_Tickets!J:J, Support_Tickets!B:B, tblTime[[#This Row],[Date]],Support_Tickets!F:F,tblTime[[#This Row],[Agent Name]])</f>
        <v>0</v>
      </c>
    </row>
    <row r="21" spans="1:14" x14ac:dyDescent="0.35">
      <c r="A21" t="s">
        <v>45</v>
      </c>
      <c r="B21" s="3">
        <v>45723</v>
      </c>
      <c r="C21">
        <v>6.25</v>
      </c>
      <c r="D21">
        <v>23</v>
      </c>
      <c r="E21">
        <v>2.19</v>
      </c>
      <c r="F21">
        <v>0</v>
      </c>
      <c r="G21" s="4">
        <f>tblTime[[#This Row],[Tickets Handled]]/tblTime[[#This Row],[Hours Worked]]</f>
        <v>3.68</v>
      </c>
      <c r="H21" s="7">
        <f>(tblTime[[#This Row],[Hours Worked]]-tblTime[[#This Row],[Idle Time (hrs)]])/tblTime[[#This Row],[Hours Worked]]</f>
        <v>0.64960000000000007</v>
      </c>
      <c r="I21" s="4">
        <f>tblTime[[#This Row],[Hours Worked]]-tblTime[[#This Row],[Idle Time (hrs)]]</f>
        <v>4.0600000000000005</v>
      </c>
      <c r="J21" t="str">
        <f>VLOOKUP(tblTime[[#This Row],[Agent Name]],tblAgents[[#All],[Agent Name]:[Experience Level]],2,FALSE)</f>
        <v>Junior</v>
      </c>
      <c r="K21" t="str">
        <f>VLOOKUP(tblTime[[#This Row],[Agent Name]],Agent_Info!A:C,3,FALSE)</f>
        <v>Team 1</v>
      </c>
      <c r="L21" t="str">
        <f>VLOOKUP(tblTime[[#This Row],[Agent Name]],Agent_Info!A:D,4,FALSE)</f>
        <v>new york</v>
      </c>
      <c r="M21" t="str">
        <f>VLOOKUP(tblTime[[#This Row],[Agent Name]],Agent_Info!$A:$E,5,FALSE)</f>
        <v>F</v>
      </c>
      <c r="N21">
        <f>SUMIFS(Support_Tickets!J:J, Support_Tickets!B:B, tblTime[[#This Row],[Date]],Support_Tickets!F:F,tblTime[[#This Row],[Agent Name]])</f>
        <v>0</v>
      </c>
    </row>
    <row r="22" spans="1:14" x14ac:dyDescent="0.35">
      <c r="A22" t="s">
        <v>14</v>
      </c>
      <c r="B22" s="3">
        <v>45716</v>
      </c>
      <c r="C22">
        <v>6.61</v>
      </c>
      <c r="D22">
        <v>5</v>
      </c>
      <c r="E22">
        <v>2.31</v>
      </c>
      <c r="F22">
        <v>0</v>
      </c>
      <c r="G22" s="4">
        <f>tblTime[[#This Row],[Tickets Handled]]/tblTime[[#This Row],[Hours Worked]]</f>
        <v>0.75642965204236001</v>
      </c>
      <c r="H22" s="7">
        <f>(tblTime[[#This Row],[Hours Worked]]-tblTime[[#This Row],[Idle Time (hrs)]])/tblTime[[#This Row],[Hours Worked]]</f>
        <v>0.65052950075642968</v>
      </c>
      <c r="I22" s="4">
        <f>tblTime[[#This Row],[Hours Worked]]-tblTime[[#This Row],[Idle Time (hrs)]]</f>
        <v>4.3000000000000007</v>
      </c>
      <c r="J22" t="str">
        <f>VLOOKUP(tblTime[[#This Row],[Agent Name]],tblAgents[[#All],[Agent Name]:[Experience Level]],2,FALSE)</f>
        <v>Senior</v>
      </c>
      <c r="K22" t="str">
        <f>VLOOKUP(tblTime[[#This Row],[Agent Name]],Agent_Info!A:C,3,FALSE)</f>
        <v>Team 2</v>
      </c>
      <c r="L22" t="str">
        <f>VLOOKUP(tblTime[[#This Row],[Agent Name]],Agent_Info!A:D,4,FALSE)</f>
        <v>hillsborough</v>
      </c>
      <c r="M22" t="str">
        <f>VLOOKUP(tblTime[[#This Row],[Agent Name]],Agent_Info!$A:$E,5,FALSE)</f>
        <v>M</v>
      </c>
      <c r="N22">
        <f>SUMIFS(Support_Tickets!J:J, Support_Tickets!B:B, tblTime[[#This Row],[Date]],Support_Tickets!F:F,tblTime[[#This Row],[Agent Name]])</f>
        <v>0</v>
      </c>
    </row>
    <row r="23" spans="1:14" x14ac:dyDescent="0.35">
      <c r="A23" t="s">
        <v>45</v>
      </c>
      <c r="B23" s="3">
        <v>45734</v>
      </c>
      <c r="C23">
        <v>7.26</v>
      </c>
      <c r="D23">
        <v>6</v>
      </c>
      <c r="E23">
        <v>2.48</v>
      </c>
      <c r="F23">
        <v>0</v>
      </c>
      <c r="G23" s="4">
        <f>tblTime[[#This Row],[Tickets Handled]]/tblTime[[#This Row],[Hours Worked]]</f>
        <v>0.82644628099173556</v>
      </c>
      <c r="H23" s="7">
        <f>(tblTime[[#This Row],[Hours Worked]]-tblTime[[#This Row],[Idle Time (hrs)]])/tblTime[[#This Row],[Hours Worked]]</f>
        <v>0.65840220385674919</v>
      </c>
      <c r="I23" s="4">
        <f>tblTime[[#This Row],[Hours Worked]]-tblTime[[#This Row],[Idle Time (hrs)]]</f>
        <v>4.7799999999999994</v>
      </c>
      <c r="J23" t="str">
        <f>VLOOKUP(tblTime[[#This Row],[Agent Name]],tblAgents[[#All],[Agent Name]:[Experience Level]],2,FALSE)</f>
        <v>Junior</v>
      </c>
      <c r="K23" t="str">
        <f>VLOOKUP(tblTime[[#This Row],[Agent Name]],Agent_Info!A:C,3,FALSE)</f>
        <v>Team 1</v>
      </c>
      <c r="L23" t="str">
        <f>VLOOKUP(tblTime[[#This Row],[Agent Name]],Agent_Info!A:D,4,FALSE)</f>
        <v>new york</v>
      </c>
      <c r="M23" t="str">
        <f>VLOOKUP(tblTime[[#This Row],[Agent Name]],Agent_Info!$A:$E,5,FALSE)</f>
        <v>F</v>
      </c>
      <c r="N23">
        <f>SUMIFS(Support_Tickets!J:J, Support_Tickets!B:B, tblTime[[#This Row],[Date]],Support_Tickets!F:F,tblTime[[#This Row],[Agent Name]])</f>
        <v>3.27</v>
      </c>
    </row>
    <row r="24" spans="1:14" x14ac:dyDescent="0.35">
      <c r="A24" t="s">
        <v>14</v>
      </c>
      <c r="B24" s="3">
        <v>45732</v>
      </c>
      <c r="C24">
        <v>6.25</v>
      </c>
      <c r="D24">
        <v>10</v>
      </c>
      <c r="E24">
        <v>2.11</v>
      </c>
      <c r="F24">
        <v>0</v>
      </c>
      <c r="G24" s="4">
        <f>tblTime[[#This Row],[Tickets Handled]]/tblTime[[#This Row],[Hours Worked]]</f>
        <v>1.6</v>
      </c>
      <c r="H24" s="7">
        <f>(tblTime[[#This Row],[Hours Worked]]-tblTime[[#This Row],[Idle Time (hrs)]])/tblTime[[#This Row],[Hours Worked]]</f>
        <v>0.6624000000000001</v>
      </c>
      <c r="I24" s="4">
        <f>tblTime[[#This Row],[Hours Worked]]-tblTime[[#This Row],[Idle Time (hrs)]]</f>
        <v>4.1400000000000006</v>
      </c>
      <c r="J24" t="str">
        <f>VLOOKUP(tblTime[[#This Row],[Agent Name]],tblAgents[[#All],[Agent Name]:[Experience Level]],2,FALSE)</f>
        <v>Senior</v>
      </c>
      <c r="K24" t="str">
        <f>VLOOKUP(tblTime[[#This Row],[Agent Name]],Agent_Info!A:C,3,FALSE)</f>
        <v>Team 2</v>
      </c>
      <c r="L24" t="str">
        <f>VLOOKUP(tblTime[[#This Row],[Agent Name]],Agent_Info!A:D,4,FALSE)</f>
        <v>hillsborough</v>
      </c>
      <c r="M24" t="str">
        <f>VLOOKUP(tblTime[[#This Row],[Agent Name]],Agent_Info!$A:$E,5,FALSE)</f>
        <v>M</v>
      </c>
      <c r="N24">
        <f>SUMIFS(Support_Tickets!J:J, Support_Tickets!B:B, tblTime[[#This Row],[Date]],Support_Tickets!F:F,tblTime[[#This Row],[Agent Name]])</f>
        <v>2.0699999999999998</v>
      </c>
    </row>
    <row r="25" spans="1:14" x14ac:dyDescent="0.35">
      <c r="A25" t="s">
        <v>25</v>
      </c>
      <c r="B25" s="3">
        <v>45739</v>
      </c>
      <c r="C25">
        <v>8.15</v>
      </c>
      <c r="D25">
        <v>9</v>
      </c>
      <c r="E25">
        <v>2.75</v>
      </c>
      <c r="F25">
        <v>0.15</v>
      </c>
      <c r="G25" s="4">
        <f>tblTime[[#This Row],[Tickets Handled]]/tblTime[[#This Row],[Hours Worked]]</f>
        <v>1.1042944785276072</v>
      </c>
      <c r="H25" s="7">
        <f>(tblTime[[#This Row],[Hours Worked]]-tblTime[[#This Row],[Idle Time (hrs)]])/tblTime[[#This Row],[Hours Worked]]</f>
        <v>0.66257668711656448</v>
      </c>
      <c r="I25" s="4">
        <f>tblTime[[#This Row],[Hours Worked]]-tblTime[[#This Row],[Idle Time (hrs)]]</f>
        <v>5.4</v>
      </c>
      <c r="J25" t="str">
        <f>VLOOKUP(tblTime[[#This Row],[Agent Name]],tblAgents[[#All],[Agent Name]:[Experience Level]],2,FALSE)</f>
        <v>Mid</v>
      </c>
      <c r="K25" t="str">
        <f>VLOOKUP(tblTime[[#This Row],[Agent Name]],Agent_Info!A:C,3,FALSE)</f>
        <v>Team 2</v>
      </c>
      <c r="L25" t="str">
        <f>VLOOKUP(tblTime[[#This Row],[Agent Name]],Agent_Info!A:D,4,FALSE)</f>
        <v>dallas</v>
      </c>
      <c r="M25" t="str">
        <f>VLOOKUP(tblTime[[#This Row],[Agent Name]],Agent_Info!$A:$E,5,FALSE)</f>
        <v>M</v>
      </c>
      <c r="N25">
        <f>SUMIFS(Support_Tickets!J:J, Support_Tickets!B:B, tblTime[[#This Row],[Date]],Support_Tickets!F:F,tblTime[[#This Row],[Agent Name]])</f>
        <v>5.33</v>
      </c>
    </row>
    <row r="26" spans="1:14" x14ac:dyDescent="0.35">
      <c r="A26" t="s">
        <v>45</v>
      </c>
      <c r="B26" s="3">
        <v>45659</v>
      </c>
      <c r="C26">
        <v>7.87</v>
      </c>
      <c r="D26">
        <v>18</v>
      </c>
      <c r="E26">
        <v>2.63</v>
      </c>
      <c r="F26">
        <v>0</v>
      </c>
      <c r="G26" s="4">
        <f>tblTime[[#This Row],[Tickets Handled]]/tblTime[[#This Row],[Hours Worked]]</f>
        <v>2.2871664548919948</v>
      </c>
      <c r="H26" s="7">
        <f>(tblTime[[#This Row],[Hours Worked]]-tblTime[[#This Row],[Idle Time (hrs)]])/tblTime[[#This Row],[Hours Worked]]</f>
        <v>0.66581956797966968</v>
      </c>
      <c r="I26" s="4">
        <f>tblTime[[#This Row],[Hours Worked]]-tblTime[[#This Row],[Idle Time (hrs)]]</f>
        <v>5.24</v>
      </c>
      <c r="J26" t="str">
        <f>VLOOKUP(tblTime[[#This Row],[Agent Name]],tblAgents[[#All],[Agent Name]:[Experience Level]],2,FALSE)</f>
        <v>Junior</v>
      </c>
      <c r="K26" t="str">
        <f>VLOOKUP(tblTime[[#This Row],[Agent Name]],Agent_Info!A:C,3,FALSE)</f>
        <v>Team 1</v>
      </c>
      <c r="L26" t="str">
        <f>VLOOKUP(tblTime[[#This Row],[Agent Name]],Agent_Info!A:D,4,FALSE)</f>
        <v>new york</v>
      </c>
      <c r="M26" t="str">
        <f>VLOOKUP(tblTime[[#This Row],[Agent Name]],Agent_Info!$A:$E,5,FALSE)</f>
        <v>F</v>
      </c>
      <c r="N26">
        <f>SUMIFS(Support_Tickets!J:J, Support_Tickets!B:B, tblTime[[#This Row],[Date]],Support_Tickets!F:F,tblTime[[#This Row],[Agent Name]])</f>
        <v>8.43</v>
      </c>
    </row>
    <row r="27" spans="1:14" x14ac:dyDescent="0.35">
      <c r="A27" t="s">
        <v>25</v>
      </c>
      <c r="B27" s="3">
        <v>45722</v>
      </c>
      <c r="C27">
        <v>6.64</v>
      </c>
      <c r="D27">
        <v>10</v>
      </c>
      <c r="E27">
        <v>2.2000000000000002</v>
      </c>
      <c r="F27">
        <v>0</v>
      </c>
      <c r="G27" s="4">
        <f>tblTime[[#This Row],[Tickets Handled]]/tblTime[[#This Row],[Hours Worked]]</f>
        <v>1.5060240963855422</v>
      </c>
      <c r="H27" s="7">
        <f>(tblTime[[#This Row],[Hours Worked]]-tblTime[[#This Row],[Idle Time (hrs)]])/tblTime[[#This Row],[Hours Worked]]</f>
        <v>0.66867469879518071</v>
      </c>
      <c r="I27" s="4">
        <f>tblTime[[#This Row],[Hours Worked]]-tblTime[[#This Row],[Idle Time (hrs)]]</f>
        <v>4.4399999999999995</v>
      </c>
      <c r="J27" t="str">
        <f>VLOOKUP(tblTime[[#This Row],[Agent Name]],tblAgents[[#All],[Agent Name]:[Experience Level]],2,FALSE)</f>
        <v>Mid</v>
      </c>
      <c r="K27" t="str">
        <f>VLOOKUP(tblTime[[#This Row],[Agent Name]],Agent_Info!A:C,3,FALSE)</f>
        <v>Team 2</v>
      </c>
      <c r="L27" t="str">
        <f>VLOOKUP(tblTime[[#This Row],[Agent Name]],Agent_Info!A:D,4,FALSE)</f>
        <v>dallas</v>
      </c>
      <c r="M27" t="str">
        <f>VLOOKUP(tblTime[[#This Row],[Agent Name]],Agent_Info!$A:$E,5,FALSE)</f>
        <v>M</v>
      </c>
      <c r="N27">
        <f>SUMIFS(Support_Tickets!J:J, Support_Tickets!B:B, tblTime[[#This Row],[Date]],Support_Tickets!F:F,tblTime[[#This Row],[Agent Name]])</f>
        <v>3.52</v>
      </c>
    </row>
    <row r="28" spans="1:14" x14ac:dyDescent="0.35">
      <c r="A28" t="s">
        <v>14</v>
      </c>
      <c r="B28" s="3">
        <v>45660</v>
      </c>
      <c r="C28">
        <v>9.02</v>
      </c>
      <c r="D28">
        <v>15</v>
      </c>
      <c r="E28">
        <v>2.97</v>
      </c>
      <c r="F28">
        <v>1.02</v>
      </c>
      <c r="G28" s="4">
        <f>tblTime[[#This Row],[Tickets Handled]]/tblTime[[#This Row],[Hours Worked]]</f>
        <v>1.6629711751662972</v>
      </c>
      <c r="H28" s="7">
        <f>(tblTime[[#This Row],[Hours Worked]]-tblTime[[#This Row],[Idle Time (hrs)]])/tblTime[[#This Row],[Hours Worked]]</f>
        <v>0.6707317073170731</v>
      </c>
      <c r="I28" s="4">
        <f>tblTime[[#This Row],[Hours Worked]]-tblTime[[#This Row],[Idle Time (hrs)]]</f>
        <v>6.0499999999999989</v>
      </c>
      <c r="J28" t="str">
        <f>VLOOKUP(tblTime[[#This Row],[Agent Name]],tblAgents[[#All],[Agent Name]:[Experience Level]],2,FALSE)</f>
        <v>Senior</v>
      </c>
      <c r="K28" t="str">
        <f>VLOOKUP(tblTime[[#This Row],[Agent Name]],Agent_Info!A:C,3,FALSE)</f>
        <v>Team 2</v>
      </c>
      <c r="L28" t="str">
        <f>VLOOKUP(tblTime[[#This Row],[Agent Name]],Agent_Info!A:D,4,FALSE)</f>
        <v>hillsborough</v>
      </c>
      <c r="M28" t="str">
        <f>VLOOKUP(tblTime[[#This Row],[Agent Name]],Agent_Info!$A:$E,5,FALSE)</f>
        <v>M</v>
      </c>
      <c r="N28">
        <f>SUMIFS(Support_Tickets!J:J, Support_Tickets!B:B, tblTime[[#This Row],[Date]],Support_Tickets!F:F,tblTime[[#This Row],[Agent Name]])</f>
        <v>2.56</v>
      </c>
    </row>
    <row r="29" spans="1:14" x14ac:dyDescent="0.35">
      <c r="A29" t="s">
        <v>25</v>
      </c>
      <c r="B29" s="3">
        <v>45721</v>
      </c>
      <c r="C29">
        <v>7.28</v>
      </c>
      <c r="D29">
        <v>13</v>
      </c>
      <c r="E29">
        <v>2.38</v>
      </c>
      <c r="F29">
        <v>0</v>
      </c>
      <c r="G29" s="4">
        <f>tblTime[[#This Row],[Tickets Handled]]/tblTime[[#This Row],[Hours Worked]]</f>
        <v>1.7857142857142856</v>
      </c>
      <c r="H29" s="7">
        <f>(tblTime[[#This Row],[Hours Worked]]-tblTime[[#This Row],[Idle Time (hrs)]])/tblTime[[#This Row],[Hours Worked]]</f>
        <v>0.67307692307692313</v>
      </c>
      <c r="I29" s="4">
        <f>tblTime[[#This Row],[Hours Worked]]-tblTime[[#This Row],[Idle Time (hrs)]]</f>
        <v>4.9000000000000004</v>
      </c>
      <c r="J29" t="str">
        <f>VLOOKUP(tblTime[[#This Row],[Agent Name]],tblAgents[[#All],[Agent Name]:[Experience Level]],2,FALSE)</f>
        <v>Mid</v>
      </c>
      <c r="K29" t="str">
        <f>VLOOKUP(tblTime[[#This Row],[Agent Name]],Agent_Info!A:C,3,FALSE)</f>
        <v>Team 2</v>
      </c>
      <c r="L29" t="str">
        <f>VLOOKUP(tblTime[[#This Row],[Agent Name]],Agent_Info!A:D,4,FALSE)</f>
        <v>dallas</v>
      </c>
      <c r="M29" t="str">
        <f>VLOOKUP(tblTime[[#This Row],[Agent Name]],Agent_Info!$A:$E,5,FALSE)</f>
        <v>M</v>
      </c>
      <c r="N29">
        <f>SUMIFS(Support_Tickets!J:J, Support_Tickets!B:B, tblTime[[#This Row],[Date]],Support_Tickets!F:F,tblTime[[#This Row],[Agent Name]])</f>
        <v>12.24</v>
      </c>
    </row>
    <row r="30" spans="1:14" x14ac:dyDescent="0.35">
      <c r="A30" t="s">
        <v>25</v>
      </c>
      <c r="B30" s="3">
        <v>45685</v>
      </c>
      <c r="C30">
        <v>7.81</v>
      </c>
      <c r="D30">
        <v>22</v>
      </c>
      <c r="E30">
        <v>2.5499999999999998</v>
      </c>
      <c r="F30">
        <v>0</v>
      </c>
      <c r="G30" s="4">
        <f>tblTime[[#This Row],[Tickets Handled]]/tblTime[[#This Row],[Hours Worked]]</f>
        <v>2.8169014084507045</v>
      </c>
      <c r="H30" s="7">
        <f>(tblTime[[#This Row],[Hours Worked]]-tblTime[[#This Row],[Idle Time (hrs)]])/tblTime[[#This Row],[Hours Worked]]</f>
        <v>0.67349551856594114</v>
      </c>
      <c r="I30" s="4">
        <f>tblTime[[#This Row],[Hours Worked]]-tblTime[[#This Row],[Idle Time (hrs)]]</f>
        <v>5.26</v>
      </c>
      <c r="J30" t="str">
        <f>VLOOKUP(tblTime[[#This Row],[Agent Name]],tblAgents[[#All],[Agent Name]:[Experience Level]],2,FALSE)</f>
        <v>Mid</v>
      </c>
      <c r="K30" t="str">
        <f>VLOOKUP(tblTime[[#This Row],[Agent Name]],Agent_Info!A:C,3,FALSE)</f>
        <v>Team 2</v>
      </c>
      <c r="L30" t="str">
        <f>VLOOKUP(tblTime[[#This Row],[Agent Name]],Agent_Info!A:D,4,FALSE)</f>
        <v>dallas</v>
      </c>
      <c r="M30" t="str">
        <f>VLOOKUP(tblTime[[#This Row],[Agent Name]],Agent_Info!$A:$E,5,FALSE)</f>
        <v>M</v>
      </c>
      <c r="N30">
        <f>SUMIFS(Support_Tickets!J:J, Support_Tickets!B:B, tblTime[[#This Row],[Date]],Support_Tickets!F:F,tblTime[[#This Row],[Agent Name]])</f>
        <v>4.96</v>
      </c>
    </row>
    <row r="31" spans="1:14" x14ac:dyDescent="0.35">
      <c r="A31" t="s">
        <v>45</v>
      </c>
      <c r="B31" s="3">
        <v>45664</v>
      </c>
      <c r="C31">
        <v>7.57</v>
      </c>
      <c r="D31">
        <v>23</v>
      </c>
      <c r="E31">
        <v>2.4700000000000002</v>
      </c>
      <c r="F31">
        <v>0</v>
      </c>
      <c r="G31" s="4">
        <f>tblTime[[#This Row],[Tickets Handled]]/tblTime[[#This Row],[Hours Worked]]</f>
        <v>3.0383091149273445</v>
      </c>
      <c r="H31" s="7">
        <f>(tblTime[[#This Row],[Hours Worked]]-tblTime[[#This Row],[Idle Time (hrs)]])/tblTime[[#This Row],[Hours Worked]]</f>
        <v>0.67371202113606332</v>
      </c>
      <c r="I31" s="4">
        <f>tblTime[[#This Row],[Hours Worked]]-tblTime[[#This Row],[Idle Time (hrs)]]</f>
        <v>5.0999999999999996</v>
      </c>
      <c r="J31" t="str">
        <f>VLOOKUP(tblTime[[#This Row],[Agent Name]],tblAgents[[#All],[Agent Name]:[Experience Level]],2,FALSE)</f>
        <v>Junior</v>
      </c>
      <c r="K31" t="str">
        <f>VLOOKUP(tblTime[[#This Row],[Agent Name]],Agent_Info!A:C,3,FALSE)</f>
        <v>Team 1</v>
      </c>
      <c r="L31" t="str">
        <f>VLOOKUP(tblTime[[#This Row],[Agent Name]],Agent_Info!A:D,4,FALSE)</f>
        <v>new york</v>
      </c>
      <c r="M31" t="str">
        <f>VLOOKUP(tblTime[[#This Row],[Agent Name]],Agent_Info!$A:$E,5,FALSE)</f>
        <v>F</v>
      </c>
      <c r="N31">
        <f>SUMIFS(Support_Tickets!J:J, Support_Tickets!B:B, tblTime[[#This Row],[Date]],Support_Tickets!F:F,tblTime[[#This Row],[Agent Name]])</f>
        <v>0</v>
      </c>
    </row>
    <row r="32" spans="1:14" x14ac:dyDescent="0.35">
      <c r="A32" t="s">
        <v>20</v>
      </c>
      <c r="B32" s="3">
        <v>45690</v>
      </c>
      <c r="C32">
        <v>6.89</v>
      </c>
      <c r="D32">
        <v>9</v>
      </c>
      <c r="E32">
        <v>2.2400000000000002</v>
      </c>
      <c r="F32">
        <v>0</v>
      </c>
      <c r="G32" s="4">
        <f>tblTime[[#This Row],[Tickets Handled]]/tblTime[[#This Row],[Hours Worked]]</f>
        <v>1.3062409288824384</v>
      </c>
      <c r="H32" s="7">
        <f>(tblTime[[#This Row],[Hours Worked]]-tblTime[[#This Row],[Idle Time (hrs)]])/tblTime[[#This Row],[Hours Worked]]</f>
        <v>0.67489114658925975</v>
      </c>
      <c r="I32" s="4">
        <f>tblTime[[#This Row],[Hours Worked]]-tblTime[[#This Row],[Idle Time (hrs)]]</f>
        <v>4.6499999999999995</v>
      </c>
      <c r="J32" t="str">
        <f>VLOOKUP(tblTime[[#This Row],[Agent Name]],tblAgents[[#All],[Agent Name]:[Experience Level]],2,FALSE)</f>
        <v>Junior</v>
      </c>
      <c r="K32" t="str">
        <f>VLOOKUP(tblTime[[#This Row],[Agent Name]],Agent_Info!A:C,3,FALSE)</f>
        <v>Team 2</v>
      </c>
      <c r="L32" t="str">
        <f>VLOOKUP(tblTime[[#This Row],[Agent Name]],Agent_Info!A:D,4,FALSE)</f>
        <v>edison</v>
      </c>
      <c r="M32" t="str">
        <f>VLOOKUP(tblTime[[#This Row],[Agent Name]],Agent_Info!$A:$E,5,FALSE)</f>
        <v>F</v>
      </c>
      <c r="N32">
        <f>SUMIFS(Support_Tickets!J:J, Support_Tickets!B:B, tblTime[[#This Row],[Date]],Support_Tickets!F:F,tblTime[[#This Row],[Agent Name]])</f>
        <v>0</v>
      </c>
    </row>
    <row r="33" spans="1:14" x14ac:dyDescent="0.35">
      <c r="A33" t="s">
        <v>25</v>
      </c>
      <c r="B33" s="3">
        <v>45704</v>
      </c>
      <c r="C33">
        <v>7.23</v>
      </c>
      <c r="D33">
        <v>5</v>
      </c>
      <c r="E33">
        <v>2.35</v>
      </c>
      <c r="F33">
        <v>0</v>
      </c>
      <c r="G33" s="4">
        <f>tblTime[[#This Row],[Tickets Handled]]/tblTime[[#This Row],[Hours Worked]]</f>
        <v>0.69156293222683263</v>
      </c>
      <c r="H33" s="7">
        <f>(tblTime[[#This Row],[Hours Worked]]-tblTime[[#This Row],[Idle Time (hrs)]])/tblTime[[#This Row],[Hours Worked]]</f>
        <v>0.6749654218533887</v>
      </c>
      <c r="I33" s="4">
        <f>tblTime[[#This Row],[Hours Worked]]-tblTime[[#This Row],[Idle Time (hrs)]]</f>
        <v>4.8800000000000008</v>
      </c>
      <c r="J33" t="str">
        <f>VLOOKUP(tblTime[[#This Row],[Agent Name]],tblAgents[[#All],[Agent Name]:[Experience Level]],2,FALSE)</f>
        <v>Mid</v>
      </c>
      <c r="K33" t="str">
        <f>VLOOKUP(tblTime[[#This Row],[Agent Name]],Agent_Info!A:C,3,FALSE)</f>
        <v>Team 2</v>
      </c>
      <c r="L33" t="str">
        <f>VLOOKUP(tblTime[[#This Row],[Agent Name]],Agent_Info!A:D,4,FALSE)</f>
        <v>dallas</v>
      </c>
      <c r="M33" t="str">
        <f>VLOOKUP(tblTime[[#This Row],[Agent Name]],Agent_Info!$A:$E,5,FALSE)</f>
        <v>M</v>
      </c>
      <c r="N33">
        <f>SUMIFS(Support_Tickets!J:J, Support_Tickets!B:B, tblTime[[#This Row],[Date]],Support_Tickets!F:F,tblTime[[#This Row],[Agent Name]])</f>
        <v>4.42</v>
      </c>
    </row>
    <row r="34" spans="1:14" x14ac:dyDescent="0.35">
      <c r="A34" t="s">
        <v>20</v>
      </c>
      <c r="B34" s="3">
        <v>45740</v>
      </c>
      <c r="C34">
        <v>8.39</v>
      </c>
      <c r="D34">
        <v>5</v>
      </c>
      <c r="E34">
        <v>2.68</v>
      </c>
      <c r="F34">
        <v>0.39</v>
      </c>
      <c r="G34" s="4">
        <f>tblTime[[#This Row],[Tickets Handled]]/tblTime[[#This Row],[Hours Worked]]</f>
        <v>0.59594755661501786</v>
      </c>
      <c r="H34" s="7">
        <f>(tblTime[[#This Row],[Hours Worked]]-tblTime[[#This Row],[Idle Time (hrs)]])/tblTime[[#This Row],[Hours Worked]]</f>
        <v>0.68057210965435044</v>
      </c>
      <c r="I34" s="4">
        <f>tblTime[[#This Row],[Hours Worked]]-tblTime[[#This Row],[Idle Time (hrs)]]</f>
        <v>5.7100000000000009</v>
      </c>
      <c r="J34" t="str">
        <f>VLOOKUP(tblTime[[#This Row],[Agent Name]],tblAgents[[#All],[Agent Name]:[Experience Level]],2,FALSE)</f>
        <v>Junior</v>
      </c>
      <c r="K34" t="str">
        <f>VLOOKUP(tblTime[[#This Row],[Agent Name]],Agent_Info!A:C,3,FALSE)</f>
        <v>Team 2</v>
      </c>
      <c r="L34" t="str">
        <f>VLOOKUP(tblTime[[#This Row],[Agent Name]],Agent_Info!A:D,4,FALSE)</f>
        <v>edison</v>
      </c>
      <c r="M34" t="str">
        <f>VLOOKUP(tblTime[[#This Row],[Agent Name]],Agent_Info!$A:$E,5,FALSE)</f>
        <v>F</v>
      </c>
      <c r="N34">
        <f>SUMIFS(Support_Tickets!J:J, Support_Tickets!B:B, tblTime[[#This Row],[Date]],Support_Tickets!F:F,tblTime[[#This Row],[Agent Name]])</f>
        <v>11.780000000000001</v>
      </c>
    </row>
    <row r="35" spans="1:14" x14ac:dyDescent="0.35">
      <c r="A35" t="s">
        <v>41</v>
      </c>
      <c r="B35" s="3">
        <v>45680</v>
      </c>
      <c r="C35">
        <v>8.35</v>
      </c>
      <c r="D35">
        <v>17</v>
      </c>
      <c r="E35">
        <v>2.65</v>
      </c>
      <c r="F35">
        <v>0.35</v>
      </c>
      <c r="G35" s="4">
        <f>tblTime[[#This Row],[Tickets Handled]]/tblTime[[#This Row],[Hours Worked]]</f>
        <v>2.0359281437125749</v>
      </c>
      <c r="H35" s="7">
        <f>(tblTime[[#This Row],[Hours Worked]]-tblTime[[#This Row],[Idle Time (hrs)]])/tblTime[[#This Row],[Hours Worked]]</f>
        <v>0.6826347305389221</v>
      </c>
      <c r="I35" s="4">
        <f>tblTime[[#This Row],[Hours Worked]]-tblTime[[#This Row],[Idle Time (hrs)]]</f>
        <v>5.6999999999999993</v>
      </c>
      <c r="J35" t="str">
        <f>VLOOKUP(tblTime[[#This Row],[Agent Name]],tblAgents[[#All],[Agent Name]:[Experience Level]],2,FALSE)</f>
        <v>Junior</v>
      </c>
      <c r="K35" t="str">
        <f>VLOOKUP(tblTime[[#This Row],[Agent Name]],Agent_Info!A:C,3,FALSE)</f>
        <v>Team 1</v>
      </c>
      <c r="L35" t="str">
        <f>VLOOKUP(tblTime[[#This Row],[Agent Name]],Agent_Info!A:D,4,FALSE)</f>
        <v>richmond</v>
      </c>
      <c r="M35" t="str">
        <f>VLOOKUP(tblTime[[#This Row],[Agent Name]],Agent_Info!$A:$E,5,FALSE)</f>
        <v>F</v>
      </c>
      <c r="N35">
        <f>SUMIFS(Support_Tickets!J:J, Support_Tickets!B:B, tblTime[[#This Row],[Date]],Support_Tickets!F:F,tblTime[[#This Row],[Agent Name]])</f>
        <v>0</v>
      </c>
    </row>
    <row r="36" spans="1:14" x14ac:dyDescent="0.35">
      <c r="A36" t="s">
        <v>41</v>
      </c>
      <c r="B36" s="3">
        <v>45701</v>
      </c>
      <c r="C36">
        <v>8.17</v>
      </c>
      <c r="D36">
        <v>24</v>
      </c>
      <c r="E36">
        <v>2.58</v>
      </c>
      <c r="F36">
        <v>0.17</v>
      </c>
      <c r="G36" s="4">
        <f>tblTime[[#This Row],[Tickets Handled]]/tblTime[[#This Row],[Hours Worked]]</f>
        <v>2.9375764993880051</v>
      </c>
      <c r="H36" s="7">
        <f>(tblTime[[#This Row],[Hours Worked]]-tblTime[[#This Row],[Idle Time (hrs)]])/tblTime[[#This Row],[Hours Worked]]</f>
        <v>0.68421052631578949</v>
      </c>
      <c r="I36" s="4">
        <f>tblTime[[#This Row],[Hours Worked]]-tblTime[[#This Row],[Idle Time (hrs)]]</f>
        <v>5.59</v>
      </c>
      <c r="J36" t="str">
        <f>VLOOKUP(tblTime[[#This Row],[Agent Name]],tblAgents[[#All],[Agent Name]:[Experience Level]],2,FALSE)</f>
        <v>Junior</v>
      </c>
      <c r="K36" t="str">
        <f>VLOOKUP(tblTime[[#This Row],[Agent Name]],Agent_Info!A:C,3,FALSE)</f>
        <v>Team 1</v>
      </c>
      <c r="L36" t="str">
        <f>VLOOKUP(tblTime[[#This Row],[Agent Name]],Agent_Info!A:D,4,FALSE)</f>
        <v>richmond</v>
      </c>
      <c r="M36" t="str">
        <f>VLOOKUP(tblTime[[#This Row],[Agent Name]],Agent_Info!$A:$E,5,FALSE)</f>
        <v>F</v>
      </c>
      <c r="N36">
        <f>SUMIFS(Support_Tickets!J:J, Support_Tickets!B:B, tblTime[[#This Row],[Date]],Support_Tickets!F:F,tblTime[[#This Row],[Agent Name]])</f>
        <v>7.99</v>
      </c>
    </row>
    <row r="37" spans="1:14" x14ac:dyDescent="0.35">
      <c r="A37" t="s">
        <v>45</v>
      </c>
      <c r="B37" s="3">
        <v>45671</v>
      </c>
      <c r="C37">
        <v>8.4</v>
      </c>
      <c r="D37">
        <v>25</v>
      </c>
      <c r="E37">
        <v>2.65</v>
      </c>
      <c r="F37">
        <v>0.4</v>
      </c>
      <c r="G37" s="4">
        <f>tblTime[[#This Row],[Tickets Handled]]/tblTime[[#This Row],[Hours Worked]]</f>
        <v>2.9761904761904763</v>
      </c>
      <c r="H37" s="7">
        <f>(tblTime[[#This Row],[Hours Worked]]-tblTime[[#This Row],[Idle Time (hrs)]])/tblTime[[#This Row],[Hours Worked]]</f>
        <v>0.68452380952380953</v>
      </c>
      <c r="I37" s="4">
        <f>tblTime[[#This Row],[Hours Worked]]-tblTime[[#This Row],[Idle Time (hrs)]]</f>
        <v>5.75</v>
      </c>
      <c r="J37" t="str">
        <f>VLOOKUP(tblTime[[#This Row],[Agent Name]],tblAgents[[#All],[Agent Name]:[Experience Level]],2,FALSE)</f>
        <v>Junior</v>
      </c>
      <c r="K37" t="str">
        <f>VLOOKUP(tblTime[[#This Row],[Agent Name]],Agent_Info!A:C,3,FALSE)</f>
        <v>Team 1</v>
      </c>
      <c r="L37" t="str">
        <f>VLOOKUP(tblTime[[#This Row],[Agent Name]],Agent_Info!A:D,4,FALSE)</f>
        <v>new york</v>
      </c>
      <c r="M37" t="str">
        <f>VLOOKUP(tblTime[[#This Row],[Agent Name]],Agent_Info!$A:$E,5,FALSE)</f>
        <v>F</v>
      </c>
      <c r="N37">
        <f>SUMIFS(Support_Tickets!J:J, Support_Tickets!B:B, tblTime[[#This Row],[Date]],Support_Tickets!F:F,tblTime[[#This Row],[Agent Name]])</f>
        <v>0</v>
      </c>
    </row>
    <row r="38" spans="1:14" x14ac:dyDescent="0.35">
      <c r="A38" t="s">
        <v>14</v>
      </c>
      <c r="B38" s="3">
        <v>45684</v>
      </c>
      <c r="C38">
        <v>8.91</v>
      </c>
      <c r="D38">
        <v>25</v>
      </c>
      <c r="E38">
        <v>2.78</v>
      </c>
      <c r="F38">
        <v>0.91</v>
      </c>
      <c r="G38" s="4">
        <f>tblTime[[#This Row],[Tickets Handled]]/tblTime[[#This Row],[Hours Worked]]</f>
        <v>2.8058361391694726</v>
      </c>
      <c r="H38" s="7">
        <f>(tblTime[[#This Row],[Hours Worked]]-tblTime[[#This Row],[Idle Time (hrs)]])/tblTime[[#This Row],[Hours Worked]]</f>
        <v>0.68799102132435475</v>
      </c>
      <c r="I38" s="4">
        <f>tblTime[[#This Row],[Hours Worked]]-tblTime[[#This Row],[Idle Time (hrs)]]</f>
        <v>6.1300000000000008</v>
      </c>
      <c r="J38" t="str">
        <f>VLOOKUP(tblTime[[#This Row],[Agent Name]],tblAgents[[#All],[Agent Name]:[Experience Level]],2,FALSE)</f>
        <v>Senior</v>
      </c>
      <c r="K38" t="str">
        <f>VLOOKUP(tblTime[[#This Row],[Agent Name]],Agent_Info!A:C,3,FALSE)</f>
        <v>Team 2</v>
      </c>
      <c r="L38" t="str">
        <f>VLOOKUP(tblTime[[#This Row],[Agent Name]],Agent_Info!A:D,4,FALSE)</f>
        <v>hillsborough</v>
      </c>
      <c r="M38" t="str">
        <f>VLOOKUP(tblTime[[#This Row],[Agent Name]],Agent_Info!$A:$E,5,FALSE)</f>
        <v>M</v>
      </c>
      <c r="N38">
        <f>SUMIFS(Support_Tickets!J:J, Support_Tickets!B:B, tblTime[[#This Row],[Date]],Support_Tickets!F:F,tblTime[[#This Row],[Agent Name]])</f>
        <v>0</v>
      </c>
    </row>
    <row r="39" spans="1:14" x14ac:dyDescent="0.35">
      <c r="A39" t="s">
        <v>41</v>
      </c>
      <c r="B39" s="3">
        <v>45670</v>
      </c>
      <c r="C39">
        <v>7.25</v>
      </c>
      <c r="D39">
        <v>18</v>
      </c>
      <c r="E39">
        <v>2.2400000000000002</v>
      </c>
      <c r="F39">
        <v>0</v>
      </c>
      <c r="G39" s="4">
        <f>tblTime[[#This Row],[Tickets Handled]]/tblTime[[#This Row],[Hours Worked]]</f>
        <v>2.4827586206896552</v>
      </c>
      <c r="H39" s="7">
        <f>(tblTime[[#This Row],[Hours Worked]]-tblTime[[#This Row],[Idle Time (hrs)]])/tblTime[[#This Row],[Hours Worked]]</f>
        <v>0.69103448275862067</v>
      </c>
      <c r="I39" s="4">
        <f>tblTime[[#This Row],[Hours Worked]]-tblTime[[#This Row],[Idle Time (hrs)]]</f>
        <v>5.01</v>
      </c>
      <c r="J39" t="str">
        <f>VLOOKUP(tblTime[[#This Row],[Agent Name]],tblAgents[[#All],[Agent Name]:[Experience Level]],2,FALSE)</f>
        <v>Junior</v>
      </c>
      <c r="K39" t="str">
        <f>VLOOKUP(tblTime[[#This Row],[Agent Name]],Agent_Info!A:C,3,FALSE)</f>
        <v>Team 1</v>
      </c>
      <c r="L39" t="str">
        <f>VLOOKUP(tblTime[[#This Row],[Agent Name]],Agent_Info!A:D,4,FALSE)</f>
        <v>richmond</v>
      </c>
      <c r="M39" t="str">
        <f>VLOOKUP(tblTime[[#This Row],[Agent Name]],Agent_Info!$A:$E,5,FALSE)</f>
        <v>F</v>
      </c>
      <c r="N39">
        <f>SUMIFS(Support_Tickets!J:J, Support_Tickets!B:B, tblTime[[#This Row],[Date]],Support_Tickets!F:F,tblTime[[#This Row],[Agent Name]])</f>
        <v>3.23</v>
      </c>
    </row>
    <row r="40" spans="1:14" x14ac:dyDescent="0.35">
      <c r="A40" t="s">
        <v>14</v>
      </c>
      <c r="B40" s="3">
        <v>45723</v>
      </c>
      <c r="C40">
        <v>6.46</v>
      </c>
      <c r="D40">
        <v>15</v>
      </c>
      <c r="E40">
        <v>1.97</v>
      </c>
      <c r="F40">
        <v>0</v>
      </c>
      <c r="G40" s="4">
        <f>tblTime[[#This Row],[Tickets Handled]]/tblTime[[#This Row],[Hours Worked]]</f>
        <v>2.321981424148607</v>
      </c>
      <c r="H40" s="7">
        <f>(tblTime[[#This Row],[Hours Worked]]-tblTime[[#This Row],[Idle Time (hrs)]])/tblTime[[#This Row],[Hours Worked]]</f>
        <v>0.695046439628483</v>
      </c>
      <c r="I40" s="4">
        <f>tblTime[[#This Row],[Hours Worked]]-tblTime[[#This Row],[Idle Time (hrs)]]</f>
        <v>4.49</v>
      </c>
      <c r="J40" t="str">
        <f>VLOOKUP(tblTime[[#This Row],[Agent Name]],tblAgents[[#All],[Agent Name]:[Experience Level]],2,FALSE)</f>
        <v>Senior</v>
      </c>
      <c r="K40" t="str">
        <f>VLOOKUP(tblTime[[#This Row],[Agent Name]],Agent_Info!A:C,3,FALSE)</f>
        <v>Team 2</v>
      </c>
      <c r="L40" t="str">
        <f>VLOOKUP(tblTime[[#This Row],[Agent Name]],Agent_Info!A:D,4,FALSE)</f>
        <v>hillsborough</v>
      </c>
      <c r="M40" t="str">
        <f>VLOOKUP(tblTime[[#This Row],[Agent Name]],Agent_Info!$A:$E,5,FALSE)</f>
        <v>M</v>
      </c>
      <c r="N40">
        <f>SUMIFS(Support_Tickets!J:J, Support_Tickets!B:B, tblTime[[#This Row],[Date]],Support_Tickets!F:F,tblTime[[#This Row],[Agent Name]])</f>
        <v>2.2200000000000002</v>
      </c>
    </row>
    <row r="41" spans="1:14" x14ac:dyDescent="0.35">
      <c r="A41" t="s">
        <v>14</v>
      </c>
      <c r="B41" s="3">
        <v>45712</v>
      </c>
      <c r="C41">
        <v>6.28</v>
      </c>
      <c r="D41">
        <v>22</v>
      </c>
      <c r="E41">
        <v>1.91</v>
      </c>
      <c r="F41">
        <v>0</v>
      </c>
      <c r="G41" s="4">
        <f>tblTime[[#This Row],[Tickets Handled]]/tblTime[[#This Row],[Hours Worked]]</f>
        <v>3.5031847133757958</v>
      </c>
      <c r="H41" s="7">
        <f>(tblTime[[#This Row],[Hours Worked]]-tblTime[[#This Row],[Idle Time (hrs)]])/tblTime[[#This Row],[Hours Worked]]</f>
        <v>0.69585987261146498</v>
      </c>
      <c r="I41" s="4">
        <f>tblTime[[#This Row],[Hours Worked]]-tblTime[[#This Row],[Idle Time (hrs)]]</f>
        <v>4.37</v>
      </c>
      <c r="J41" t="str">
        <f>VLOOKUP(tblTime[[#This Row],[Agent Name]],tblAgents[[#All],[Agent Name]:[Experience Level]],2,FALSE)</f>
        <v>Senior</v>
      </c>
      <c r="K41" t="str">
        <f>VLOOKUP(tblTime[[#This Row],[Agent Name]],Agent_Info!A:C,3,FALSE)</f>
        <v>Team 2</v>
      </c>
      <c r="L41" t="str">
        <f>VLOOKUP(tblTime[[#This Row],[Agent Name]],Agent_Info!A:D,4,FALSE)</f>
        <v>hillsborough</v>
      </c>
      <c r="M41" t="str">
        <f>VLOOKUP(tblTime[[#This Row],[Agent Name]],Agent_Info!$A:$E,5,FALSE)</f>
        <v>M</v>
      </c>
      <c r="N41">
        <f>SUMIFS(Support_Tickets!J:J, Support_Tickets!B:B, tblTime[[#This Row],[Date]],Support_Tickets!F:F,tblTime[[#This Row],[Agent Name]])</f>
        <v>7.54</v>
      </c>
    </row>
    <row r="42" spans="1:14" x14ac:dyDescent="0.35">
      <c r="A42" t="s">
        <v>14</v>
      </c>
      <c r="B42" s="3">
        <v>45736</v>
      </c>
      <c r="C42">
        <v>9.14</v>
      </c>
      <c r="D42">
        <v>24</v>
      </c>
      <c r="E42">
        <v>2.77</v>
      </c>
      <c r="F42">
        <v>1.1399999999999999</v>
      </c>
      <c r="G42" s="4">
        <f>tblTime[[#This Row],[Tickets Handled]]/tblTime[[#This Row],[Hours Worked]]</f>
        <v>2.6258205689277898</v>
      </c>
      <c r="H42" s="7">
        <f>(tblTime[[#This Row],[Hours Worked]]-tblTime[[#This Row],[Idle Time (hrs)]])/tblTime[[#This Row],[Hours Worked]]</f>
        <v>0.69693654266958427</v>
      </c>
      <c r="I42" s="4">
        <f>tblTime[[#This Row],[Hours Worked]]-tblTime[[#This Row],[Idle Time (hrs)]]</f>
        <v>6.370000000000001</v>
      </c>
      <c r="J42" t="str">
        <f>VLOOKUP(tblTime[[#This Row],[Agent Name]],tblAgents[[#All],[Agent Name]:[Experience Level]],2,FALSE)</f>
        <v>Senior</v>
      </c>
      <c r="K42" t="str">
        <f>VLOOKUP(tblTime[[#This Row],[Agent Name]],Agent_Info!A:C,3,FALSE)</f>
        <v>Team 2</v>
      </c>
      <c r="L42" t="str">
        <f>VLOOKUP(tblTime[[#This Row],[Agent Name]],Agent_Info!A:D,4,FALSE)</f>
        <v>hillsborough</v>
      </c>
      <c r="M42" t="str">
        <f>VLOOKUP(tblTime[[#This Row],[Agent Name]],Agent_Info!$A:$E,5,FALSE)</f>
        <v>M</v>
      </c>
      <c r="N42">
        <f>SUMIFS(Support_Tickets!J:J, Support_Tickets!B:B, tblTime[[#This Row],[Date]],Support_Tickets!F:F,tblTime[[#This Row],[Agent Name]])</f>
        <v>0</v>
      </c>
    </row>
    <row r="43" spans="1:14" x14ac:dyDescent="0.35">
      <c r="A43" t="s">
        <v>25</v>
      </c>
      <c r="B43" s="3">
        <v>45741</v>
      </c>
      <c r="C43">
        <v>9.5399999999999991</v>
      </c>
      <c r="D43">
        <v>14</v>
      </c>
      <c r="E43">
        <v>2.88</v>
      </c>
      <c r="F43">
        <v>1.54</v>
      </c>
      <c r="G43" s="4">
        <f>tblTime[[#This Row],[Tickets Handled]]/tblTime[[#This Row],[Hours Worked]]</f>
        <v>1.4675052410901468</v>
      </c>
      <c r="H43" s="7">
        <f>(tblTime[[#This Row],[Hours Worked]]-tblTime[[#This Row],[Idle Time (hrs)]])/tblTime[[#This Row],[Hours Worked]]</f>
        <v>0.69811320754716977</v>
      </c>
      <c r="I43" s="4">
        <f>tblTime[[#This Row],[Hours Worked]]-tblTime[[#This Row],[Idle Time (hrs)]]</f>
        <v>6.6599999999999993</v>
      </c>
      <c r="J43" t="str">
        <f>VLOOKUP(tblTime[[#This Row],[Agent Name]],tblAgents[[#All],[Agent Name]:[Experience Level]],2,FALSE)</f>
        <v>Mid</v>
      </c>
      <c r="K43" t="str">
        <f>VLOOKUP(tblTime[[#This Row],[Agent Name]],Agent_Info!A:C,3,FALSE)</f>
        <v>Team 2</v>
      </c>
      <c r="L43" t="str">
        <f>VLOOKUP(tblTime[[#This Row],[Agent Name]],Agent_Info!A:D,4,FALSE)</f>
        <v>dallas</v>
      </c>
      <c r="M43" t="str">
        <f>VLOOKUP(tblTime[[#This Row],[Agent Name]],Agent_Info!$A:$E,5,FALSE)</f>
        <v>M</v>
      </c>
      <c r="N43">
        <f>SUMIFS(Support_Tickets!J:J, Support_Tickets!B:B, tblTime[[#This Row],[Date]],Support_Tickets!F:F,tblTime[[#This Row],[Agent Name]])</f>
        <v>0</v>
      </c>
    </row>
    <row r="44" spans="1:14" x14ac:dyDescent="0.35">
      <c r="A44" t="s">
        <v>20</v>
      </c>
      <c r="B44" s="3">
        <v>45705</v>
      </c>
      <c r="C44">
        <v>8.93</v>
      </c>
      <c r="D44">
        <v>5</v>
      </c>
      <c r="E44">
        <v>2.69</v>
      </c>
      <c r="F44">
        <v>0.93</v>
      </c>
      <c r="G44" s="4">
        <f>tblTime[[#This Row],[Tickets Handled]]/tblTime[[#This Row],[Hours Worked]]</f>
        <v>0.55991041433370659</v>
      </c>
      <c r="H44" s="7">
        <f>(tblTime[[#This Row],[Hours Worked]]-tblTime[[#This Row],[Idle Time (hrs)]])/tblTime[[#This Row],[Hours Worked]]</f>
        <v>0.69876819708846594</v>
      </c>
      <c r="I44" s="4">
        <f>tblTime[[#This Row],[Hours Worked]]-tblTime[[#This Row],[Idle Time (hrs)]]</f>
        <v>6.24</v>
      </c>
      <c r="J44" t="str">
        <f>VLOOKUP(tblTime[[#This Row],[Agent Name]],tblAgents[[#All],[Agent Name]:[Experience Level]],2,FALSE)</f>
        <v>Junior</v>
      </c>
      <c r="K44" t="str">
        <f>VLOOKUP(tblTime[[#This Row],[Agent Name]],Agent_Info!A:C,3,FALSE)</f>
        <v>Team 2</v>
      </c>
      <c r="L44" t="str">
        <f>VLOOKUP(tblTime[[#This Row],[Agent Name]],Agent_Info!A:D,4,FALSE)</f>
        <v>edison</v>
      </c>
      <c r="M44" t="str">
        <f>VLOOKUP(tblTime[[#This Row],[Agent Name]],Agent_Info!$A:$E,5,FALSE)</f>
        <v>F</v>
      </c>
      <c r="N44">
        <f>SUMIFS(Support_Tickets!J:J, Support_Tickets!B:B, tblTime[[#This Row],[Date]],Support_Tickets!F:F,tblTime[[#This Row],[Agent Name]])</f>
        <v>2.92</v>
      </c>
    </row>
    <row r="45" spans="1:14" x14ac:dyDescent="0.35">
      <c r="A45" t="s">
        <v>41</v>
      </c>
      <c r="B45" s="3">
        <v>45730</v>
      </c>
      <c r="C45">
        <v>8.25</v>
      </c>
      <c r="D45">
        <v>14</v>
      </c>
      <c r="E45">
        <v>2.46</v>
      </c>
      <c r="F45">
        <v>0.25</v>
      </c>
      <c r="G45" s="4">
        <f>tblTime[[#This Row],[Tickets Handled]]/tblTime[[#This Row],[Hours Worked]]</f>
        <v>1.696969696969697</v>
      </c>
      <c r="H45" s="7">
        <f>(tblTime[[#This Row],[Hours Worked]]-tblTime[[#This Row],[Idle Time (hrs)]])/tblTime[[#This Row],[Hours Worked]]</f>
        <v>0.70181818181818179</v>
      </c>
      <c r="I45" s="4">
        <f>tblTime[[#This Row],[Hours Worked]]-tblTime[[#This Row],[Idle Time (hrs)]]</f>
        <v>5.79</v>
      </c>
      <c r="J45" t="str">
        <f>VLOOKUP(tblTime[[#This Row],[Agent Name]],tblAgents[[#All],[Agent Name]:[Experience Level]],2,FALSE)</f>
        <v>Junior</v>
      </c>
      <c r="K45" t="str">
        <f>VLOOKUP(tblTime[[#This Row],[Agent Name]],Agent_Info!A:C,3,FALSE)</f>
        <v>Team 1</v>
      </c>
      <c r="L45" t="str">
        <f>VLOOKUP(tblTime[[#This Row],[Agent Name]],Agent_Info!A:D,4,FALSE)</f>
        <v>richmond</v>
      </c>
      <c r="M45" t="str">
        <f>VLOOKUP(tblTime[[#This Row],[Agent Name]],Agent_Info!$A:$E,5,FALSE)</f>
        <v>F</v>
      </c>
      <c r="N45">
        <f>SUMIFS(Support_Tickets!J:J, Support_Tickets!B:B, tblTime[[#This Row],[Date]],Support_Tickets!F:F,tblTime[[#This Row],[Agent Name]])</f>
        <v>4.12</v>
      </c>
    </row>
    <row r="46" spans="1:14" x14ac:dyDescent="0.35">
      <c r="A46" t="s">
        <v>14</v>
      </c>
      <c r="B46" s="3">
        <v>45737</v>
      </c>
      <c r="C46">
        <v>9.86</v>
      </c>
      <c r="D46">
        <v>21</v>
      </c>
      <c r="E46">
        <v>2.94</v>
      </c>
      <c r="F46">
        <v>1.86</v>
      </c>
      <c r="G46" s="4">
        <f>tblTime[[#This Row],[Tickets Handled]]/tblTime[[#This Row],[Hours Worked]]</f>
        <v>2.1298174442190669</v>
      </c>
      <c r="H46" s="7">
        <f>(tblTime[[#This Row],[Hours Worked]]-tblTime[[#This Row],[Idle Time (hrs)]])/tblTime[[#This Row],[Hours Worked]]</f>
        <v>0.70182555780933065</v>
      </c>
      <c r="I46" s="4">
        <f>tblTime[[#This Row],[Hours Worked]]-tblTime[[#This Row],[Idle Time (hrs)]]</f>
        <v>6.92</v>
      </c>
      <c r="J46" t="str">
        <f>VLOOKUP(tblTime[[#This Row],[Agent Name]],tblAgents[[#All],[Agent Name]:[Experience Level]],2,FALSE)</f>
        <v>Senior</v>
      </c>
      <c r="K46" t="str">
        <f>VLOOKUP(tblTime[[#This Row],[Agent Name]],Agent_Info!A:C,3,FALSE)</f>
        <v>Team 2</v>
      </c>
      <c r="L46" t="str">
        <f>VLOOKUP(tblTime[[#This Row],[Agent Name]],Agent_Info!A:D,4,FALSE)</f>
        <v>hillsborough</v>
      </c>
      <c r="M46" t="str">
        <f>VLOOKUP(tblTime[[#This Row],[Agent Name]],Agent_Info!$A:$E,5,FALSE)</f>
        <v>M</v>
      </c>
      <c r="N46">
        <f>SUMIFS(Support_Tickets!J:J, Support_Tickets!B:B, tblTime[[#This Row],[Date]],Support_Tickets!F:F,tblTime[[#This Row],[Agent Name]])</f>
        <v>0</v>
      </c>
    </row>
    <row r="47" spans="1:14" x14ac:dyDescent="0.35">
      <c r="A47" t="s">
        <v>20</v>
      </c>
      <c r="B47" s="3">
        <v>45725</v>
      </c>
      <c r="C47">
        <v>6.91</v>
      </c>
      <c r="D47">
        <v>15</v>
      </c>
      <c r="E47">
        <v>2.06</v>
      </c>
      <c r="F47">
        <v>0</v>
      </c>
      <c r="G47" s="4">
        <f>tblTime[[#This Row],[Tickets Handled]]/tblTime[[#This Row],[Hours Worked]]</f>
        <v>2.1707670043415339</v>
      </c>
      <c r="H47" s="7">
        <f>(tblTime[[#This Row],[Hours Worked]]-tblTime[[#This Row],[Idle Time (hrs)]])/tblTime[[#This Row],[Hours Worked]]</f>
        <v>0.70188133140376263</v>
      </c>
      <c r="I47" s="4">
        <f>tblTime[[#This Row],[Hours Worked]]-tblTime[[#This Row],[Idle Time (hrs)]]</f>
        <v>4.8499999999999996</v>
      </c>
      <c r="J47" t="str">
        <f>VLOOKUP(tblTime[[#This Row],[Agent Name]],tblAgents[[#All],[Agent Name]:[Experience Level]],2,FALSE)</f>
        <v>Junior</v>
      </c>
      <c r="K47" t="str">
        <f>VLOOKUP(tblTime[[#This Row],[Agent Name]],Agent_Info!A:C,3,FALSE)</f>
        <v>Team 2</v>
      </c>
      <c r="L47" t="str">
        <f>VLOOKUP(tblTime[[#This Row],[Agent Name]],Agent_Info!A:D,4,FALSE)</f>
        <v>edison</v>
      </c>
      <c r="M47" t="str">
        <f>VLOOKUP(tblTime[[#This Row],[Agent Name]],Agent_Info!$A:$E,5,FALSE)</f>
        <v>F</v>
      </c>
      <c r="N47">
        <f>SUMIFS(Support_Tickets!J:J, Support_Tickets!B:B, tblTime[[#This Row],[Date]],Support_Tickets!F:F,tblTime[[#This Row],[Agent Name]])</f>
        <v>1.03</v>
      </c>
    </row>
    <row r="48" spans="1:14" x14ac:dyDescent="0.35">
      <c r="A48" t="s">
        <v>45</v>
      </c>
      <c r="B48" s="3">
        <v>45689</v>
      </c>
      <c r="C48">
        <v>9.82</v>
      </c>
      <c r="D48">
        <v>9</v>
      </c>
      <c r="E48">
        <v>2.9</v>
      </c>
      <c r="F48">
        <v>1.82</v>
      </c>
      <c r="G48" s="4">
        <f>tblTime[[#This Row],[Tickets Handled]]/tblTime[[#This Row],[Hours Worked]]</f>
        <v>0.91649694501018331</v>
      </c>
      <c r="H48" s="7">
        <f>(tblTime[[#This Row],[Hours Worked]]-tblTime[[#This Row],[Idle Time (hrs)]])/tblTime[[#This Row],[Hours Worked]]</f>
        <v>0.70468431771894091</v>
      </c>
      <c r="I48" s="4">
        <f>tblTime[[#This Row],[Hours Worked]]-tblTime[[#This Row],[Idle Time (hrs)]]</f>
        <v>6.92</v>
      </c>
      <c r="J48" t="str">
        <f>VLOOKUP(tblTime[[#This Row],[Agent Name]],tblAgents[[#All],[Agent Name]:[Experience Level]],2,FALSE)</f>
        <v>Junior</v>
      </c>
      <c r="K48" t="str">
        <f>VLOOKUP(tblTime[[#This Row],[Agent Name]],Agent_Info!A:C,3,FALSE)</f>
        <v>Team 1</v>
      </c>
      <c r="L48" t="str">
        <f>VLOOKUP(tblTime[[#This Row],[Agent Name]],Agent_Info!A:D,4,FALSE)</f>
        <v>new york</v>
      </c>
      <c r="M48" t="str">
        <f>VLOOKUP(tblTime[[#This Row],[Agent Name]],Agent_Info!$A:$E,5,FALSE)</f>
        <v>F</v>
      </c>
      <c r="N48">
        <f>SUMIFS(Support_Tickets!J:J, Support_Tickets!B:B, tblTime[[#This Row],[Date]],Support_Tickets!F:F,tblTime[[#This Row],[Agent Name]])</f>
        <v>9.59</v>
      </c>
    </row>
    <row r="49" spans="1:14" x14ac:dyDescent="0.35">
      <c r="A49" t="s">
        <v>14</v>
      </c>
      <c r="B49" s="3">
        <v>45714</v>
      </c>
      <c r="C49">
        <v>7.41</v>
      </c>
      <c r="D49">
        <v>15</v>
      </c>
      <c r="E49">
        <v>2.1800000000000002</v>
      </c>
      <c r="F49">
        <v>0</v>
      </c>
      <c r="G49" s="4">
        <f>tblTime[[#This Row],[Tickets Handled]]/tblTime[[#This Row],[Hours Worked]]</f>
        <v>2.0242914979757085</v>
      </c>
      <c r="H49" s="7">
        <f>(tblTime[[#This Row],[Hours Worked]]-tblTime[[#This Row],[Idle Time (hrs)]])/tblTime[[#This Row],[Hours Worked]]</f>
        <v>0.7058029689608637</v>
      </c>
      <c r="I49" s="4">
        <f>tblTime[[#This Row],[Hours Worked]]-tblTime[[#This Row],[Idle Time (hrs)]]</f>
        <v>5.23</v>
      </c>
      <c r="J49" t="str">
        <f>VLOOKUP(tblTime[[#This Row],[Agent Name]],tblAgents[[#All],[Agent Name]:[Experience Level]],2,FALSE)</f>
        <v>Senior</v>
      </c>
      <c r="K49" t="str">
        <f>VLOOKUP(tblTime[[#This Row],[Agent Name]],Agent_Info!A:C,3,FALSE)</f>
        <v>Team 2</v>
      </c>
      <c r="L49" t="str">
        <f>VLOOKUP(tblTime[[#This Row],[Agent Name]],Agent_Info!A:D,4,FALSE)</f>
        <v>hillsborough</v>
      </c>
      <c r="M49" t="str">
        <f>VLOOKUP(tblTime[[#This Row],[Agent Name]],Agent_Info!$A:$E,5,FALSE)</f>
        <v>M</v>
      </c>
      <c r="N49">
        <f>SUMIFS(Support_Tickets!J:J, Support_Tickets!B:B, tblTime[[#This Row],[Date]],Support_Tickets!F:F,tblTime[[#This Row],[Agent Name]])</f>
        <v>0.96</v>
      </c>
    </row>
    <row r="50" spans="1:14" x14ac:dyDescent="0.35">
      <c r="A50" t="s">
        <v>41</v>
      </c>
      <c r="B50" s="3">
        <v>45693</v>
      </c>
      <c r="C50">
        <v>7.31</v>
      </c>
      <c r="D50">
        <v>25</v>
      </c>
      <c r="E50">
        <v>2.15</v>
      </c>
      <c r="F50">
        <v>0</v>
      </c>
      <c r="G50" s="4">
        <f>tblTime[[#This Row],[Tickets Handled]]/tblTime[[#This Row],[Hours Worked]]</f>
        <v>3.4199726402188784</v>
      </c>
      <c r="H50" s="7">
        <f>(tblTime[[#This Row],[Hours Worked]]-tblTime[[#This Row],[Idle Time (hrs)]])/tblTime[[#This Row],[Hours Worked]]</f>
        <v>0.70588235294117652</v>
      </c>
      <c r="I50" s="4">
        <f>tblTime[[#This Row],[Hours Worked]]-tblTime[[#This Row],[Idle Time (hrs)]]</f>
        <v>5.16</v>
      </c>
      <c r="J50" t="str">
        <f>VLOOKUP(tblTime[[#This Row],[Agent Name]],tblAgents[[#All],[Agent Name]:[Experience Level]],2,FALSE)</f>
        <v>Junior</v>
      </c>
      <c r="K50" t="str">
        <f>VLOOKUP(tblTime[[#This Row],[Agent Name]],Agent_Info!A:C,3,FALSE)</f>
        <v>Team 1</v>
      </c>
      <c r="L50" t="str">
        <f>VLOOKUP(tblTime[[#This Row],[Agent Name]],Agent_Info!A:D,4,FALSE)</f>
        <v>richmond</v>
      </c>
      <c r="M50" t="str">
        <f>VLOOKUP(tblTime[[#This Row],[Agent Name]],Agent_Info!$A:$E,5,FALSE)</f>
        <v>F</v>
      </c>
      <c r="N50">
        <f>SUMIFS(Support_Tickets!J:J, Support_Tickets!B:B, tblTime[[#This Row],[Date]],Support_Tickets!F:F,tblTime[[#This Row],[Agent Name]])</f>
        <v>4.66</v>
      </c>
    </row>
    <row r="51" spans="1:14" x14ac:dyDescent="0.35">
      <c r="A51" t="s">
        <v>20</v>
      </c>
      <c r="B51" s="3">
        <v>45696</v>
      </c>
      <c r="C51">
        <v>9.83</v>
      </c>
      <c r="D51">
        <v>16</v>
      </c>
      <c r="E51">
        <v>2.89</v>
      </c>
      <c r="F51">
        <v>1.83</v>
      </c>
      <c r="G51" s="4">
        <f>tblTime[[#This Row],[Tickets Handled]]/tblTime[[#This Row],[Hours Worked]]</f>
        <v>1.6276703967446593</v>
      </c>
      <c r="H51" s="7">
        <f>(tblTime[[#This Row],[Hours Worked]]-tblTime[[#This Row],[Idle Time (hrs)]])/tblTime[[#This Row],[Hours Worked]]</f>
        <v>0.70600203458799593</v>
      </c>
      <c r="I51" s="4">
        <f>tblTime[[#This Row],[Hours Worked]]-tblTime[[#This Row],[Idle Time (hrs)]]</f>
        <v>6.9399999999999995</v>
      </c>
      <c r="J51" t="str">
        <f>VLOOKUP(tblTime[[#This Row],[Agent Name]],tblAgents[[#All],[Agent Name]:[Experience Level]],2,FALSE)</f>
        <v>Junior</v>
      </c>
      <c r="K51" t="str">
        <f>VLOOKUP(tblTime[[#This Row],[Agent Name]],Agent_Info!A:C,3,FALSE)</f>
        <v>Team 2</v>
      </c>
      <c r="L51" t="str">
        <f>VLOOKUP(tblTime[[#This Row],[Agent Name]],Agent_Info!A:D,4,FALSE)</f>
        <v>edison</v>
      </c>
      <c r="M51" t="str">
        <f>VLOOKUP(tblTime[[#This Row],[Agent Name]],Agent_Info!$A:$E,5,FALSE)</f>
        <v>F</v>
      </c>
      <c r="N51">
        <f>SUMIFS(Support_Tickets!J:J, Support_Tickets!B:B, tblTime[[#This Row],[Date]],Support_Tickets!F:F,tblTime[[#This Row],[Agent Name]])</f>
        <v>0</v>
      </c>
    </row>
    <row r="52" spans="1:14" x14ac:dyDescent="0.35">
      <c r="A52" t="s">
        <v>14</v>
      </c>
      <c r="B52" s="3">
        <v>45716</v>
      </c>
      <c r="C52">
        <v>9.92</v>
      </c>
      <c r="D52">
        <v>17</v>
      </c>
      <c r="E52">
        <v>2.89</v>
      </c>
      <c r="F52">
        <v>1.92</v>
      </c>
      <c r="G52" s="4">
        <f>tblTime[[#This Row],[Tickets Handled]]/tblTime[[#This Row],[Hours Worked]]</f>
        <v>1.7137096774193548</v>
      </c>
      <c r="H52" s="7">
        <f>(tblTime[[#This Row],[Hours Worked]]-tblTime[[#This Row],[Idle Time (hrs)]])/tblTime[[#This Row],[Hours Worked]]</f>
        <v>0.70866935483870963</v>
      </c>
      <c r="I52" s="4">
        <f>tblTime[[#This Row],[Hours Worked]]-tblTime[[#This Row],[Idle Time (hrs)]]</f>
        <v>7.0299999999999994</v>
      </c>
      <c r="J52" t="str">
        <f>VLOOKUP(tblTime[[#This Row],[Agent Name]],tblAgents[[#All],[Agent Name]:[Experience Level]],2,FALSE)</f>
        <v>Senior</v>
      </c>
      <c r="K52" t="str">
        <f>VLOOKUP(tblTime[[#This Row],[Agent Name]],Agent_Info!A:C,3,FALSE)</f>
        <v>Team 2</v>
      </c>
      <c r="L52" t="str">
        <f>VLOOKUP(tblTime[[#This Row],[Agent Name]],Agent_Info!A:D,4,FALSE)</f>
        <v>hillsborough</v>
      </c>
      <c r="M52" t="str">
        <f>VLOOKUP(tblTime[[#This Row],[Agent Name]],Agent_Info!$A:$E,5,FALSE)</f>
        <v>M</v>
      </c>
      <c r="N52">
        <f>SUMIFS(Support_Tickets!J:J, Support_Tickets!B:B, tblTime[[#This Row],[Date]],Support_Tickets!F:F,tblTime[[#This Row],[Agent Name]])</f>
        <v>0</v>
      </c>
    </row>
    <row r="53" spans="1:14" x14ac:dyDescent="0.35">
      <c r="A53" t="s">
        <v>20</v>
      </c>
      <c r="B53" s="3">
        <v>45698</v>
      </c>
      <c r="C53">
        <v>6.72</v>
      </c>
      <c r="D53">
        <v>21</v>
      </c>
      <c r="E53">
        <v>1.94</v>
      </c>
      <c r="F53">
        <v>0</v>
      </c>
      <c r="G53" s="4">
        <f>tblTime[[#This Row],[Tickets Handled]]/tblTime[[#This Row],[Hours Worked]]</f>
        <v>3.125</v>
      </c>
      <c r="H53" s="7">
        <f>(tblTime[[#This Row],[Hours Worked]]-tblTime[[#This Row],[Idle Time (hrs)]])/tblTime[[#This Row],[Hours Worked]]</f>
        <v>0.71130952380952372</v>
      </c>
      <c r="I53" s="4">
        <f>tblTime[[#This Row],[Hours Worked]]-tblTime[[#This Row],[Idle Time (hrs)]]</f>
        <v>4.7799999999999994</v>
      </c>
      <c r="J53" t="str">
        <f>VLOOKUP(tblTime[[#This Row],[Agent Name]],tblAgents[[#All],[Agent Name]:[Experience Level]],2,FALSE)</f>
        <v>Junior</v>
      </c>
      <c r="K53" t="str">
        <f>VLOOKUP(tblTime[[#This Row],[Agent Name]],Agent_Info!A:C,3,FALSE)</f>
        <v>Team 2</v>
      </c>
      <c r="L53" t="str">
        <f>VLOOKUP(tblTime[[#This Row],[Agent Name]],Agent_Info!A:D,4,FALSE)</f>
        <v>edison</v>
      </c>
      <c r="M53" t="str">
        <f>VLOOKUP(tblTime[[#This Row],[Agent Name]],Agent_Info!$A:$E,5,FALSE)</f>
        <v>F</v>
      </c>
      <c r="N53">
        <f>SUMIFS(Support_Tickets!J:J, Support_Tickets!B:B, tblTime[[#This Row],[Date]],Support_Tickets!F:F,tblTime[[#This Row],[Agent Name]])</f>
        <v>0</v>
      </c>
    </row>
    <row r="54" spans="1:14" x14ac:dyDescent="0.35">
      <c r="A54" t="s">
        <v>45</v>
      </c>
      <c r="B54" s="3">
        <v>45683</v>
      </c>
      <c r="C54">
        <v>8.3800000000000008</v>
      </c>
      <c r="D54">
        <v>7</v>
      </c>
      <c r="E54">
        <v>2.41</v>
      </c>
      <c r="F54">
        <v>0.38</v>
      </c>
      <c r="G54" s="4">
        <f>tblTime[[#This Row],[Tickets Handled]]/tblTime[[#This Row],[Hours Worked]]</f>
        <v>0.83532219570405719</v>
      </c>
      <c r="H54" s="7">
        <f>(tblTime[[#This Row],[Hours Worked]]-tblTime[[#This Row],[Idle Time (hrs)]])/tblTime[[#This Row],[Hours Worked]]</f>
        <v>0.71241050119331739</v>
      </c>
      <c r="I54" s="4">
        <f>tblTime[[#This Row],[Hours Worked]]-tblTime[[#This Row],[Idle Time (hrs)]]</f>
        <v>5.9700000000000006</v>
      </c>
      <c r="J54" t="str">
        <f>VLOOKUP(tblTime[[#This Row],[Agent Name]],tblAgents[[#All],[Agent Name]:[Experience Level]],2,FALSE)</f>
        <v>Junior</v>
      </c>
      <c r="K54" t="str">
        <f>VLOOKUP(tblTime[[#This Row],[Agent Name]],Agent_Info!A:C,3,FALSE)</f>
        <v>Team 1</v>
      </c>
      <c r="L54" t="str">
        <f>VLOOKUP(tblTime[[#This Row],[Agent Name]],Agent_Info!A:D,4,FALSE)</f>
        <v>new york</v>
      </c>
      <c r="M54" t="str">
        <f>VLOOKUP(tblTime[[#This Row],[Agent Name]],Agent_Info!$A:$E,5,FALSE)</f>
        <v>F</v>
      </c>
      <c r="N54">
        <f>SUMIFS(Support_Tickets!J:J, Support_Tickets!B:B, tblTime[[#This Row],[Date]],Support_Tickets!F:F,tblTime[[#This Row],[Agent Name]])</f>
        <v>14.77</v>
      </c>
    </row>
    <row r="55" spans="1:14" x14ac:dyDescent="0.35">
      <c r="A55" t="s">
        <v>41</v>
      </c>
      <c r="B55" s="3">
        <v>45697</v>
      </c>
      <c r="C55">
        <v>8.94</v>
      </c>
      <c r="D55">
        <v>19</v>
      </c>
      <c r="E55">
        <v>2.57</v>
      </c>
      <c r="F55">
        <v>0.94</v>
      </c>
      <c r="G55" s="4">
        <f>tblTime[[#This Row],[Tickets Handled]]/tblTime[[#This Row],[Hours Worked]]</f>
        <v>2.1252796420581657</v>
      </c>
      <c r="H55" s="7">
        <f>(tblTime[[#This Row],[Hours Worked]]-tblTime[[#This Row],[Idle Time (hrs)]])/tblTime[[#This Row],[Hours Worked]]</f>
        <v>0.71252796420581654</v>
      </c>
      <c r="I55" s="4">
        <f>tblTime[[#This Row],[Hours Worked]]-tblTime[[#This Row],[Idle Time (hrs)]]</f>
        <v>6.3699999999999992</v>
      </c>
      <c r="J55" t="str">
        <f>VLOOKUP(tblTime[[#This Row],[Agent Name]],tblAgents[[#All],[Agent Name]:[Experience Level]],2,FALSE)</f>
        <v>Junior</v>
      </c>
      <c r="K55" t="str">
        <f>VLOOKUP(tblTime[[#This Row],[Agent Name]],Agent_Info!A:C,3,FALSE)</f>
        <v>Team 1</v>
      </c>
      <c r="L55" t="str">
        <f>VLOOKUP(tblTime[[#This Row],[Agent Name]],Agent_Info!A:D,4,FALSE)</f>
        <v>richmond</v>
      </c>
      <c r="M55" t="str">
        <f>VLOOKUP(tblTime[[#This Row],[Agent Name]],Agent_Info!$A:$E,5,FALSE)</f>
        <v>F</v>
      </c>
      <c r="N55">
        <f>SUMIFS(Support_Tickets!J:J, Support_Tickets!B:B, tblTime[[#This Row],[Date]],Support_Tickets!F:F,tblTime[[#This Row],[Agent Name]])</f>
        <v>9.92</v>
      </c>
    </row>
    <row r="56" spans="1:14" x14ac:dyDescent="0.35">
      <c r="A56" t="s">
        <v>14</v>
      </c>
      <c r="B56" s="3">
        <v>45716</v>
      </c>
      <c r="C56">
        <v>8.7100000000000009</v>
      </c>
      <c r="D56">
        <v>15</v>
      </c>
      <c r="E56">
        <v>2.5</v>
      </c>
      <c r="F56">
        <v>0.71</v>
      </c>
      <c r="G56" s="4">
        <f>tblTime[[#This Row],[Tickets Handled]]/tblTime[[#This Row],[Hours Worked]]</f>
        <v>1.7221584385763489</v>
      </c>
      <c r="H56" s="7">
        <f>(tblTime[[#This Row],[Hours Worked]]-tblTime[[#This Row],[Idle Time (hrs)]])/tblTime[[#This Row],[Hours Worked]]</f>
        <v>0.71297359357060852</v>
      </c>
      <c r="I56" s="4">
        <f>tblTime[[#This Row],[Hours Worked]]-tblTime[[#This Row],[Idle Time (hrs)]]</f>
        <v>6.2100000000000009</v>
      </c>
      <c r="J56" t="str">
        <f>VLOOKUP(tblTime[[#This Row],[Agent Name]],tblAgents[[#All],[Agent Name]:[Experience Level]],2,FALSE)</f>
        <v>Senior</v>
      </c>
      <c r="K56" t="str">
        <f>VLOOKUP(tblTime[[#This Row],[Agent Name]],Agent_Info!A:C,3,FALSE)</f>
        <v>Team 2</v>
      </c>
      <c r="L56" t="str">
        <f>VLOOKUP(tblTime[[#This Row],[Agent Name]],Agent_Info!A:D,4,FALSE)</f>
        <v>hillsborough</v>
      </c>
      <c r="M56" t="str">
        <f>VLOOKUP(tblTime[[#This Row],[Agent Name]],Agent_Info!$A:$E,5,FALSE)</f>
        <v>M</v>
      </c>
      <c r="N56">
        <f>SUMIFS(Support_Tickets!J:J, Support_Tickets!B:B, tblTime[[#This Row],[Date]],Support_Tickets!F:F,tblTime[[#This Row],[Agent Name]])</f>
        <v>0</v>
      </c>
    </row>
    <row r="57" spans="1:14" x14ac:dyDescent="0.35">
      <c r="A57" t="s">
        <v>20</v>
      </c>
      <c r="B57" s="3">
        <v>45730</v>
      </c>
      <c r="C57">
        <v>8.93</v>
      </c>
      <c r="D57">
        <v>12</v>
      </c>
      <c r="E57">
        <v>2.54</v>
      </c>
      <c r="F57">
        <v>0.93</v>
      </c>
      <c r="G57" s="4">
        <f>tblTime[[#This Row],[Tickets Handled]]/tblTime[[#This Row],[Hours Worked]]</f>
        <v>1.3437849944008959</v>
      </c>
      <c r="H57" s="7">
        <f>(tblTime[[#This Row],[Hours Worked]]-tblTime[[#This Row],[Idle Time (hrs)]])/tblTime[[#This Row],[Hours Worked]]</f>
        <v>0.71556550951847708</v>
      </c>
      <c r="I57" s="4">
        <f>tblTime[[#This Row],[Hours Worked]]-tblTime[[#This Row],[Idle Time (hrs)]]</f>
        <v>6.39</v>
      </c>
      <c r="J57" t="str">
        <f>VLOOKUP(tblTime[[#This Row],[Agent Name]],tblAgents[[#All],[Agent Name]:[Experience Level]],2,FALSE)</f>
        <v>Junior</v>
      </c>
      <c r="K57" t="str">
        <f>VLOOKUP(tblTime[[#This Row],[Agent Name]],Agent_Info!A:C,3,FALSE)</f>
        <v>Team 2</v>
      </c>
      <c r="L57" t="str">
        <f>VLOOKUP(tblTime[[#This Row],[Agent Name]],Agent_Info!A:D,4,FALSE)</f>
        <v>edison</v>
      </c>
      <c r="M57" t="str">
        <f>VLOOKUP(tblTime[[#This Row],[Agent Name]],Agent_Info!$A:$E,5,FALSE)</f>
        <v>F</v>
      </c>
      <c r="N57">
        <f>SUMIFS(Support_Tickets!J:J, Support_Tickets!B:B, tblTime[[#This Row],[Date]],Support_Tickets!F:F,tblTime[[#This Row],[Agent Name]])</f>
        <v>0</v>
      </c>
    </row>
    <row r="58" spans="1:14" x14ac:dyDescent="0.35">
      <c r="A58" t="s">
        <v>25</v>
      </c>
      <c r="B58" s="3">
        <v>45719</v>
      </c>
      <c r="C58">
        <v>7.11</v>
      </c>
      <c r="D58">
        <v>10</v>
      </c>
      <c r="E58">
        <v>2.02</v>
      </c>
      <c r="F58">
        <v>0</v>
      </c>
      <c r="G58" s="4">
        <f>tblTime[[#This Row],[Tickets Handled]]/tblTime[[#This Row],[Hours Worked]]</f>
        <v>1.4064697609001406</v>
      </c>
      <c r="H58" s="7">
        <f>(tblTime[[#This Row],[Hours Worked]]-tblTime[[#This Row],[Idle Time (hrs)]])/tblTime[[#This Row],[Hours Worked]]</f>
        <v>0.71589310829817154</v>
      </c>
      <c r="I58" s="4">
        <f>tblTime[[#This Row],[Hours Worked]]-tblTime[[#This Row],[Idle Time (hrs)]]</f>
        <v>5.09</v>
      </c>
      <c r="J58" t="str">
        <f>VLOOKUP(tblTime[[#This Row],[Agent Name]],tblAgents[[#All],[Agent Name]:[Experience Level]],2,FALSE)</f>
        <v>Mid</v>
      </c>
      <c r="K58" t="str">
        <f>VLOOKUP(tblTime[[#This Row],[Agent Name]],Agent_Info!A:C,3,FALSE)</f>
        <v>Team 2</v>
      </c>
      <c r="L58" t="str">
        <f>VLOOKUP(tblTime[[#This Row],[Agent Name]],Agent_Info!A:D,4,FALSE)</f>
        <v>dallas</v>
      </c>
      <c r="M58" t="str">
        <f>VLOOKUP(tblTime[[#This Row],[Agent Name]],Agent_Info!$A:$E,5,FALSE)</f>
        <v>M</v>
      </c>
      <c r="N58">
        <f>SUMIFS(Support_Tickets!J:J, Support_Tickets!B:B, tblTime[[#This Row],[Date]],Support_Tickets!F:F,tblTime[[#This Row],[Agent Name]])</f>
        <v>11.07</v>
      </c>
    </row>
    <row r="59" spans="1:14" x14ac:dyDescent="0.35">
      <c r="A59" t="s">
        <v>20</v>
      </c>
      <c r="B59" s="3">
        <v>45695</v>
      </c>
      <c r="C59">
        <v>8.08</v>
      </c>
      <c r="D59">
        <v>16</v>
      </c>
      <c r="E59">
        <v>2.2799999999999998</v>
      </c>
      <c r="F59">
        <v>0.08</v>
      </c>
      <c r="G59" s="4">
        <f>tblTime[[#This Row],[Tickets Handled]]/tblTime[[#This Row],[Hours Worked]]</f>
        <v>1.9801980198019802</v>
      </c>
      <c r="H59" s="7">
        <f>(tblTime[[#This Row],[Hours Worked]]-tblTime[[#This Row],[Idle Time (hrs)]])/tblTime[[#This Row],[Hours Worked]]</f>
        <v>0.7178217821782179</v>
      </c>
      <c r="I59" s="4">
        <f>tblTime[[#This Row],[Hours Worked]]-tblTime[[#This Row],[Idle Time (hrs)]]</f>
        <v>5.8000000000000007</v>
      </c>
      <c r="J59" t="str">
        <f>VLOOKUP(tblTime[[#This Row],[Agent Name]],tblAgents[[#All],[Agent Name]:[Experience Level]],2,FALSE)</f>
        <v>Junior</v>
      </c>
      <c r="K59" t="str">
        <f>VLOOKUP(tblTime[[#This Row],[Agent Name]],Agent_Info!A:C,3,FALSE)</f>
        <v>Team 2</v>
      </c>
      <c r="L59" t="str">
        <f>VLOOKUP(tblTime[[#This Row],[Agent Name]],Agent_Info!A:D,4,FALSE)</f>
        <v>edison</v>
      </c>
      <c r="M59" t="str">
        <f>VLOOKUP(tblTime[[#This Row],[Agent Name]],Agent_Info!$A:$E,5,FALSE)</f>
        <v>F</v>
      </c>
      <c r="N59">
        <f>SUMIFS(Support_Tickets!J:J, Support_Tickets!B:B, tblTime[[#This Row],[Date]],Support_Tickets!F:F,tblTime[[#This Row],[Agent Name]])</f>
        <v>0</v>
      </c>
    </row>
    <row r="60" spans="1:14" x14ac:dyDescent="0.35">
      <c r="A60" t="s">
        <v>45</v>
      </c>
      <c r="B60" s="3">
        <v>45728</v>
      </c>
      <c r="C60">
        <v>9.3699999999999992</v>
      </c>
      <c r="D60">
        <v>8</v>
      </c>
      <c r="E60">
        <v>2.64</v>
      </c>
      <c r="F60">
        <v>1.37</v>
      </c>
      <c r="G60" s="4">
        <f>tblTime[[#This Row],[Tickets Handled]]/tblTime[[#This Row],[Hours Worked]]</f>
        <v>0.85378868729989332</v>
      </c>
      <c r="H60" s="7">
        <f>(tblTime[[#This Row],[Hours Worked]]-tblTime[[#This Row],[Idle Time (hrs)]])/tblTime[[#This Row],[Hours Worked]]</f>
        <v>0.71824973319103513</v>
      </c>
      <c r="I60" s="4">
        <f>tblTime[[#This Row],[Hours Worked]]-tblTime[[#This Row],[Idle Time (hrs)]]</f>
        <v>6.7299999999999986</v>
      </c>
      <c r="J60" t="str">
        <f>VLOOKUP(tblTime[[#This Row],[Agent Name]],tblAgents[[#All],[Agent Name]:[Experience Level]],2,FALSE)</f>
        <v>Junior</v>
      </c>
      <c r="K60" t="str">
        <f>VLOOKUP(tblTime[[#This Row],[Agent Name]],Agent_Info!A:C,3,FALSE)</f>
        <v>Team 1</v>
      </c>
      <c r="L60" t="str">
        <f>VLOOKUP(tblTime[[#This Row],[Agent Name]],Agent_Info!A:D,4,FALSE)</f>
        <v>new york</v>
      </c>
      <c r="M60" t="str">
        <f>VLOOKUP(tblTime[[#This Row],[Agent Name]],Agent_Info!$A:$E,5,FALSE)</f>
        <v>F</v>
      </c>
      <c r="N60">
        <f>SUMIFS(Support_Tickets!J:J, Support_Tickets!B:B, tblTime[[#This Row],[Date]],Support_Tickets!F:F,tblTime[[#This Row],[Agent Name]])</f>
        <v>3.46</v>
      </c>
    </row>
    <row r="61" spans="1:14" x14ac:dyDescent="0.35">
      <c r="A61" t="s">
        <v>45</v>
      </c>
      <c r="B61" s="3">
        <v>45703</v>
      </c>
      <c r="C61">
        <v>6.63</v>
      </c>
      <c r="D61">
        <v>9</v>
      </c>
      <c r="E61">
        <v>1.85</v>
      </c>
      <c r="F61">
        <v>0</v>
      </c>
      <c r="G61" s="4">
        <f>tblTime[[#This Row],[Tickets Handled]]/tblTime[[#This Row],[Hours Worked]]</f>
        <v>1.3574660633484164</v>
      </c>
      <c r="H61" s="7">
        <f>(tblTime[[#This Row],[Hours Worked]]-tblTime[[#This Row],[Idle Time (hrs)]])/tblTime[[#This Row],[Hours Worked]]</f>
        <v>0.7209653092006032</v>
      </c>
      <c r="I61" s="4">
        <f>tblTime[[#This Row],[Hours Worked]]-tblTime[[#This Row],[Idle Time (hrs)]]</f>
        <v>4.7799999999999994</v>
      </c>
      <c r="J61" t="str">
        <f>VLOOKUP(tblTime[[#This Row],[Agent Name]],tblAgents[[#All],[Agent Name]:[Experience Level]],2,FALSE)</f>
        <v>Junior</v>
      </c>
      <c r="K61" t="str">
        <f>VLOOKUP(tblTime[[#This Row],[Agent Name]],Agent_Info!A:C,3,FALSE)</f>
        <v>Team 1</v>
      </c>
      <c r="L61" t="str">
        <f>VLOOKUP(tblTime[[#This Row],[Agent Name]],Agent_Info!A:D,4,FALSE)</f>
        <v>new york</v>
      </c>
      <c r="M61" t="str">
        <f>VLOOKUP(tblTime[[#This Row],[Agent Name]],Agent_Info!$A:$E,5,FALSE)</f>
        <v>F</v>
      </c>
      <c r="N61">
        <f>SUMIFS(Support_Tickets!J:J, Support_Tickets!B:B, tblTime[[#This Row],[Date]],Support_Tickets!F:F,tblTime[[#This Row],[Agent Name]])</f>
        <v>0</v>
      </c>
    </row>
    <row r="62" spans="1:14" x14ac:dyDescent="0.35">
      <c r="A62" t="s">
        <v>20</v>
      </c>
      <c r="B62" s="3">
        <v>45683</v>
      </c>
      <c r="C62">
        <v>8.9</v>
      </c>
      <c r="D62">
        <v>21</v>
      </c>
      <c r="E62">
        <v>2.48</v>
      </c>
      <c r="F62">
        <v>0.9</v>
      </c>
      <c r="G62" s="4">
        <f>tblTime[[#This Row],[Tickets Handled]]/tblTime[[#This Row],[Hours Worked]]</f>
        <v>2.3595505617977528</v>
      </c>
      <c r="H62" s="7">
        <f>(tblTime[[#This Row],[Hours Worked]]-tblTime[[#This Row],[Idle Time (hrs)]])/tblTime[[#This Row],[Hours Worked]]</f>
        <v>0.72134831460674154</v>
      </c>
      <c r="I62" s="4">
        <f>tblTime[[#This Row],[Hours Worked]]-tblTime[[#This Row],[Idle Time (hrs)]]</f>
        <v>6.42</v>
      </c>
      <c r="J62" t="str">
        <f>VLOOKUP(tblTime[[#This Row],[Agent Name]],tblAgents[[#All],[Agent Name]:[Experience Level]],2,FALSE)</f>
        <v>Junior</v>
      </c>
      <c r="K62" t="str">
        <f>VLOOKUP(tblTime[[#This Row],[Agent Name]],Agent_Info!A:C,3,FALSE)</f>
        <v>Team 2</v>
      </c>
      <c r="L62" t="str">
        <f>VLOOKUP(tblTime[[#This Row],[Agent Name]],Agent_Info!A:D,4,FALSE)</f>
        <v>edison</v>
      </c>
      <c r="M62" t="str">
        <f>VLOOKUP(tblTime[[#This Row],[Agent Name]],Agent_Info!$A:$E,5,FALSE)</f>
        <v>F</v>
      </c>
      <c r="N62">
        <f>SUMIFS(Support_Tickets!J:J, Support_Tickets!B:B, tblTime[[#This Row],[Date]],Support_Tickets!F:F,tblTime[[#This Row],[Agent Name]])</f>
        <v>7.69</v>
      </c>
    </row>
    <row r="63" spans="1:14" x14ac:dyDescent="0.35">
      <c r="A63" t="s">
        <v>25</v>
      </c>
      <c r="B63" s="3">
        <v>45735</v>
      </c>
      <c r="C63">
        <v>6.38</v>
      </c>
      <c r="D63">
        <v>17</v>
      </c>
      <c r="E63">
        <v>1.76</v>
      </c>
      <c r="F63">
        <v>0</v>
      </c>
      <c r="G63" s="4">
        <f>tblTime[[#This Row],[Tickets Handled]]/tblTime[[#This Row],[Hours Worked]]</f>
        <v>2.6645768025078369</v>
      </c>
      <c r="H63" s="7">
        <f>(tblTime[[#This Row],[Hours Worked]]-tblTime[[#This Row],[Idle Time (hrs)]])/tblTime[[#This Row],[Hours Worked]]</f>
        <v>0.72413793103448276</v>
      </c>
      <c r="I63" s="4">
        <f>tblTime[[#This Row],[Hours Worked]]-tblTime[[#This Row],[Idle Time (hrs)]]</f>
        <v>4.62</v>
      </c>
      <c r="J63" t="str">
        <f>VLOOKUP(tblTime[[#This Row],[Agent Name]],tblAgents[[#All],[Agent Name]:[Experience Level]],2,FALSE)</f>
        <v>Mid</v>
      </c>
      <c r="K63" t="str">
        <f>VLOOKUP(tblTime[[#This Row],[Agent Name]],Agent_Info!A:C,3,FALSE)</f>
        <v>Team 2</v>
      </c>
      <c r="L63" t="str">
        <f>VLOOKUP(tblTime[[#This Row],[Agent Name]],Agent_Info!A:D,4,FALSE)</f>
        <v>dallas</v>
      </c>
      <c r="M63" t="str">
        <f>VLOOKUP(tblTime[[#This Row],[Agent Name]],Agent_Info!$A:$E,5,FALSE)</f>
        <v>M</v>
      </c>
      <c r="N63">
        <f>SUMIFS(Support_Tickets!J:J, Support_Tickets!B:B, tblTime[[#This Row],[Date]],Support_Tickets!F:F,tblTime[[#This Row],[Agent Name]])</f>
        <v>5.72</v>
      </c>
    </row>
    <row r="64" spans="1:14" x14ac:dyDescent="0.35">
      <c r="A64" t="s">
        <v>41</v>
      </c>
      <c r="B64" s="3">
        <v>45687</v>
      </c>
      <c r="C64">
        <v>7.58</v>
      </c>
      <c r="D64">
        <v>6</v>
      </c>
      <c r="E64">
        <v>2.09</v>
      </c>
      <c r="F64">
        <v>0</v>
      </c>
      <c r="G64" s="4">
        <f>tblTime[[#This Row],[Tickets Handled]]/tblTime[[#This Row],[Hours Worked]]</f>
        <v>0.79155672823218992</v>
      </c>
      <c r="H64" s="7">
        <f>(tblTime[[#This Row],[Hours Worked]]-tblTime[[#This Row],[Idle Time (hrs)]])/tblTime[[#This Row],[Hours Worked]]</f>
        <v>0.72427440633245388</v>
      </c>
      <c r="I64" s="4">
        <f>tblTime[[#This Row],[Hours Worked]]-tblTime[[#This Row],[Idle Time (hrs)]]</f>
        <v>5.49</v>
      </c>
      <c r="J64" t="str">
        <f>VLOOKUP(tblTime[[#This Row],[Agent Name]],tblAgents[[#All],[Agent Name]:[Experience Level]],2,FALSE)</f>
        <v>Junior</v>
      </c>
      <c r="K64" t="str">
        <f>VLOOKUP(tblTime[[#This Row],[Agent Name]],Agent_Info!A:C,3,FALSE)</f>
        <v>Team 1</v>
      </c>
      <c r="L64" t="str">
        <f>VLOOKUP(tblTime[[#This Row],[Agent Name]],Agent_Info!A:D,4,FALSE)</f>
        <v>richmond</v>
      </c>
      <c r="M64" t="str">
        <f>VLOOKUP(tblTime[[#This Row],[Agent Name]],Agent_Info!$A:$E,5,FALSE)</f>
        <v>F</v>
      </c>
      <c r="N64">
        <f>SUMIFS(Support_Tickets!J:J, Support_Tickets!B:B, tblTime[[#This Row],[Date]],Support_Tickets!F:F,tblTime[[#This Row],[Agent Name]])</f>
        <v>0</v>
      </c>
    </row>
    <row r="65" spans="1:14" x14ac:dyDescent="0.35">
      <c r="A65" t="s">
        <v>25</v>
      </c>
      <c r="B65" s="3">
        <v>45688</v>
      </c>
      <c r="C65">
        <v>7.75</v>
      </c>
      <c r="D65">
        <v>20</v>
      </c>
      <c r="E65">
        <v>2.12</v>
      </c>
      <c r="F65">
        <v>0</v>
      </c>
      <c r="G65" s="4">
        <f>tblTime[[#This Row],[Tickets Handled]]/tblTime[[#This Row],[Hours Worked]]</f>
        <v>2.5806451612903225</v>
      </c>
      <c r="H65" s="7">
        <f>(tblTime[[#This Row],[Hours Worked]]-tblTime[[#This Row],[Idle Time (hrs)]])/tblTime[[#This Row],[Hours Worked]]</f>
        <v>0.7264516129032258</v>
      </c>
      <c r="I65" s="4">
        <f>tblTime[[#This Row],[Hours Worked]]-tblTime[[#This Row],[Idle Time (hrs)]]</f>
        <v>5.63</v>
      </c>
      <c r="J65" t="str">
        <f>VLOOKUP(tblTime[[#This Row],[Agent Name]],tblAgents[[#All],[Agent Name]:[Experience Level]],2,FALSE)</f>
        <v>Mid</v>
      </c>
      <c r="K65" t="str">
        <f>VLOOKUP(tblTime[[#This Row],[Agent Name]],Agent_Info!A:C,3,FALSE)</f>
        <v>Team 2</v>
      </c>
      <c r="L65" t="str">
        <f>VLOOKUP(tblTime[[#This Row],[Agent Name]],Agent_Info!A:D,4,FALSE)</f>
        <v>dallas</v>
      </c>
      <c r="M65" t="str">
        <f>VLOOKUP(tblTime[[#This Row],[Agent Name]],Agent_Info!$A:$E,5,FALSE)</f>
        <v>M</v>
      </c>
      <c r="N65">
        <f>SUMIFS(Support_Tickets!J:J, Support_Tickets!B:B, tblTime[[#This Row],[Date]],Support_Tickets!F:F,tblTime[[#This Row],[Agent Name]])</f>
        <v>0.95</v>
      </c>
    </row>
    <row r="66" spans="1:14" x14ac:dyDescent="0.35">
      <c r="A66" t="s">
        <v>25</v>
      </c>
      <c r="B66" s="3">
        <v>45703</v>
      </c>
      <c r="C66">
        <v>8.99</v>
      </c>
      <c r="D66">
        <v>18</v>
      </c>
      <c r="E66">
        <v>2.4500000000000002</v>
      </c>
      <c r="F66">
        <v>0.99</v>
      </c>
      <c r="G66" s="4">
        <f>tblTime[[#This Row],[Tickets Handled]]/tblTime[[#This Row],[Hours Worked]]</f>
        <v>2.0022246941045605</v>
      </c>
      <c r="H66" s="7">
        <f>(tblTime[[#This Row],[Hours Worked]]-tblTime[[#This Row],[Idle Time (hrs)]])/tblTime[[#This Row],[Hours Worked]]</f>
        <v>0.72747497219132373</v>
      </c>
      <c r="I66" s="4">
        <f>tblTime[[#This Row],[Hours Worked]]-tblTime[[#This Row],[Idle Time (hrs)]]</f>
        <v>6.54</v>
      </c>
      <c r="J66" t="str">
        <f>VLOOKUP(tblTime[[#This Row],[Agent Name]],tblAgents[[#All],[Agent Name]:[Experience Level]],2,FALSE)</f>
        <v>Mid</v>
      </c>
      <c r="K66" t="str">
        <f>VLOOKUP(tblTime[[#This Row],[Agent Name]],Agent_Info!A:C,3,FALSE)</f>
        <v>Team 2</v>
      </c>
      <c r="L66" t="str">
        <f>VLOOKUP(tblTime[[#This Row],[Agent Name]],Agent_Info!A:D,4,FALSE)</f>
        <v>dallas</v>
      </c>
      <c r="M66" t="str">
        <f>VLOOKUP(tblTime[[#This Row],[Agent Name]],Agent_Info!$A:$E,5,FALSE)</f>
        <v>M</v>
      </c>
      <c r="N66">
        <f>SUMIFS(Support_Tickets!J:J, Support_Tickets!B:B, tblTime[[#This Row],[Date]],Support_Tickets!F:F,tblTime[[#This Row],[Agent Name]])</f>
        <v>0.91</v>
      </c>
    </row>
    <row r="67" spans="1:14" x14ac:dyDescent="0.35">
      <c r="A67" t="s">
        <v>45</v>
      </c>
      <c r="B67" s="3">
        <v>45664</v>
      </c>
      <c r="C67">
        <v>7.45</v>
      </c>
      <c r="D67">
        <v>17</v>
      </c>
      <c r="E67">
        <v>2.0299999999999998</v>
      </c>
      <c r="F67">
        <v>0</v>
      </c>
      <c r="G67" s="4">
        <f>tblTime[[#This Row],[Tickets Handled]]/tblTime[[#This Row],[Hours Worked]]</f>
        <v>2.2818791946308723</v>
      </c>
      <c r="H67" s="7">
        <f>(tblTime[[#This Row],[Hours Worked]]-tblTime[[#This Row],[Idle Time (hrs)]])/tblTime[[#This Row],[Hours Worked]]</f>
        <v>0.72751677852348995</v>
      </c>
      <c r="I67" s="4">
        <f>tblTime[[#This Row],[Hours Worked]]-tblTime[[#This Row],[Idle Time (hrs)]]</f>
        <v>5.42</v>
      </c>
      <c r="J67" t="str">
        <f>VLOOKUP(tblTime[[#This Row],[Agent Name]],tblAgents[[#All],[Agent Name]:[Experience Level]],2,FALSE)</f>
        <v>Junior</v>
      </c>
      <c r="K67" t="str">
        <f>VLOOKUP(tblTime[[#This Row],[Agent Name]],Agent_Info!A:C,3,FALSE)</f>
        <v>Team 1</v>
      </c>
      <c r="L67" t="str">
        <f>VLOOKUP(tblTime[[#This Row],[Agent Name]],Agent_Info!A:D,4,FALSE)</f>
        <v>new york</v>
      </c>
      <c r="M67" t="str">
        <f>VLOOKUP(tblTime[[#This Row],[Agent Name]],Agent_Info!$A:$E,5,FALSE)</f>
        <v>F</v>
      </c>
      <c r="N67">
        <f>SUMIFS(Support_Tickets!J:J, Support_Tickets!B:B, tblTime[[#This Row],[Date]],Support_Tickets!F:F,tblTime[[#This Row],[Agent Name]])</f>
        <v>0</v>
      </c>
    </row>
    <row r="68" spans="1:14" x14ac:dyDescent="0.35">
      <c r="A68" t="s">
        <v>41</v>
      </c>
      <c r="B68" s="3">
        <v>45669</v>
      </c>
      <c r="C68">
        <v>9.34</v>
      </c>
      <c r="D68">
        <v>24</v>
      </c>
      <c r="E68">
        <v>2.46</v>
      </c>
      <c r="F68">
        <v>1.34</v>
      </c>
      <c r="G68" s="4">
        <f>tblTime[[#This Row],[Tickets Handled]]/tblTime[[#This Row],[Hours Worked]]</f>
        <v>2.5695931477516059</v>
      </c>
      <c r="H68" s="7">
        <f>(tblTime[[#This Row],[Hours Worked]]-tblTime[[#This Row],[Idle Time (hrs)]])/tblTime[[#This Row],[Hours Worked]]</f>
        <v>0.7366167023554604</v>
      </c>
      <c r="I68" s="4">
        <f>tblTime[[#This Row],[Hours Worked]]-tblTime[[#This Row],[Idle Time (hrs)]]</f>
        <v>6.88</v>
      </c>
      <c r="J68" t="str">
        <f>VLOOKUP(tblTime[[#This Row],[Agent Name]],tblAgents[[#All],[Agent Name]:[Experience Level]],2,FALSE)</f>
        <v>Junior</v>
      </c>
      <c r="K68" t="str">
        <f>VLOOKUP(tblTime[[#This Row],[Agent Name]],Agent_Info!A:C,3,FALSE)</f>
        <v>Team 1</v>
      </c>
      <c r="L68" t="str">
        <f>VLOOKUP(tblTime[[#This Row],[Agent Name]],Agent_Info!A:D,4,FALSE)</f>
        <v>richmond</v>
      </c>
      <c r="M68" t="str">
        <f>VLOOKUP(tblTime[[#This Row],[Agent Name]],Agent_Info!$A:$E,5,FALSE)</f>
        <v>F</v>
      </c>
      <c r="N68">
        <f>SUMIFS(Support_Tickets!J:J, Support_Tickets!B:B, tblTime[[#This Row],[Date]],Support_Tickets!F:F,tblTime[[#This Row],[Agent Name]])</f>
        <v>7.52</v>
      </c>
    </row>
    <row r="69" spans="1:14" x14ac:dyDescent="0.35">
      <c r="A69" t="s">
        <v>41</v>
      </c>
      <c r="B69" s="3">
        <v>45726</v>
      </c>
      <c r="C69">
        <v>6.14</v>
      </c>
      <c r="D69">
        <v>7</v>
      </c>
      <c r="E69">
        <v>1.6</v>
      </c>
      <c r="F69">
        <v>0</v>
      </c>
      <c r="G69" s="4">
        <f>tblTime[[#This Row],[Tickets Handled]]/tblTime[[#This Row],[Hours Worked]]</f>
        <v>1.1400651465798046</v>
      </c>
      <c r="H69" s="7">
        <f>(tblTime[[#This Row],[Hours Worked]]-tblTime[[#This Row],[Idle Time (hrs)]])/tblTime[[#This Row],[Hours Worked]]</f>
        <v>0.73941368078175884</v>
      </c>
      <c r="I69" s="4">
        <f>tblTime[[#This Row],[Hours Worked]]-tblTime[[#This Row],[Idle Time (hrs)]]</f>
        <v>4.5399999999999991</v>
      </c>
      <c r="J69" t="str">
        <f>VLOOKUP(tblTime[[#This Row],[Agent Name]],tblAgents[[#All],[Agent Name]:[Experience Level]],2,FALSE)</f>
        <v>Junior</v>
      </c>
      <c r="K69" t="str">
        <f>VLOOKUP(tblTime[[#This Row],[Agent Name]],Agent_Info!A:C,3,FALSE)</f>
        <v>Team 1</v>
      </c>
      <c r="L69" t="str">
        <f>VLOOKUP(tblTime[[#This Row],[Agent Name]],Agent_Info!A:D,4,FALSE)</f>
        <v>richmond</v>
      </c>
      <c r="M69" t="str">
        <f>VLOOKUP(tblTime[[#This Row],[Agent Name]],Agent_Info!$A:$E,5,FALSE)</f>
        <v>F</v>
      </c>
      <c r="N69">
        <f>SUMIFS(Support_Tickets!J:J, Support_Tickets!B:B, tblTime[[#This Row],[Date]],Support_Tickets!F:F,tblTime[[#This Row],[Agent Name]])</f>
        <v>6.6</v>
      </c>
    </row>
    <row r="70" spans="1:14" x14ac:dyDescent="0.35">
      <c r="A70" t="s">
        <v>41</v>
      </c>
      <c r="B70" s="3">
        <v>45673</v>
      </c>
      <c r="C70">
        <v>7.82</v>
      </c>
      <c r="D70">
        <v>13</v>
      </c>
      <c r="E70">
        <v>2.02</v>
      </c>
      <c r="F70">
        <v>0</v>
      </c>
      <c r="G70" s="4">
        <f>tblTime[[#This Row],[Tickets Handled]]/tblTime[[#This Row],[Hours Worked]]</f>
        <v>1.6624040920716112</v>
      </c>
      <c r="H70" s="7">
        <f>(tblTime[[#This Row],[Hours Worked]]-tblTime[[#This Row],[Idle Time (hrs)]])/tblTime[[#This Row],[Hours Worked]]</f>
        <v>0.74168797953964205</v>
      </c>
      <c r="I70" s="4">
        <f>tblTime[[#This Row],[Hours Worked]]-tblTime[[#This Row],[Idle Time (hrs)]]</f>
        <v>5.8000000000000007</v>
      </c>
      <c r="J70" t="str">
        <f>VLOOKUP(tblTime[[#This Row],[Agent Name]],tblAgents[[#All],[Agent Name]:[Experience Level]],2,FALSE)</f>
        <v>Junior</v>
      </c>
      <c r="K70" t="str">
        <f>VLOOKUP(tblTime[[#This Row],[Agent Name]],Agent_Info!A:C,3,FALSE)</f>
        <v>Team 1</v>
      </c>
      <c r="L70" t="str">
        <f>VLOOKUP(tblTime[[#This Row],[Agent Name]],Agent_Info!A:D,4,FALSE)</f>
        <v>richmond</v>
      </c>
      <c r="M70" t="str">
        <f>VLOOKUP(tblTime[[#This Row],[Agent Name]],Agent_Info!$A:$E,5,FALSE)</f>
        <v>F</v>
      </c>
      <c r="N70">
        <f>SUMIFS(Support_Tickets!J:J, Support_Tickets!B:B, tblTime[[#This Row],[Date]],Support_Tickets!F:F,tblTime[[#This Row],[Agent Name]])</f>
        <v>2.91</v>
      </c>
    </row>
    <row r="71" spans="1:14" x14ac:dyDescent="0.35">
      <c r="A71" t="s">
        <v>45</v>
      </c>
      <c r="B71" s="3">
        <v>45732</v>
      </c>
      <c r="C71">
        <v>7.75</v>
      </c>
      <c r="D71">
        <v>13</v>
      </c>
      <c r="E71">
        <v>1.99</v>
      </c>
      <c r="F71">
        <v>0</v>
      </c>
      <c r="G71" s="4">
        <f>tblTime[[#This Row],[Tickets Handled]]/tblTime[[#This Row],[Hours Worked]]</f>
        <v>1.6774193548387097</v>
      </c>
      <c r="H71" s="7">
        <f>(tblTime[[#This Row],[Hours Worked]]-tblTime[[#This Row],[Idle Time (hrs)]])/tblTime[[#This Row],[Hours Worked]]</f>
        <v>0.74322580645161285</v>
      </c>
      <c r="I71" s="4">
        <f>tblTime[[#This Row],[Hours Worked]]-tblTime[[#This Row],[Idle Time (hrs)]]</f>
        <v>5.76</v>
      </c>
      <c r="J71" t="str">
        <f>VLOOKUP(tblTime[[#This Row],[Agent Name]],tblAgents[[#All],[Agent Name]:[Experience Level]],2,FALSE)</f>
        <v>Junior</v>
      </c>
      <c r="K71" t="str">
        <f>VLOOKUP(tblTime[[#This Row],[Agent Name]],Agent_Info!A:C,3,FALSE)</f>
        <v>Team 1</v>
      </c>
      <c r="L71" t="str">
        <f>VLOOKUP(tblTime[[#This Row],[Agent Name]],Agent_Info!A:D,4,FALSE)</f>
        <v>new york</v>
      </c>
      <c r="M71" t="str">
        <f>VLOOKUP(tblTime[[#This Row],[Agent Name]],Agent_Info!$A:$E,5,FALSE)</f>
        <v>F</v>
      </c>
      <c r="N71">
        <f>SUMIFS(Support_Tickets!J:J, Support_Tickets!B:B, tblTime[[#This Row],[Date]],Support_Tickets!F:F,tblTime[[#This Row],[Agent Name]])</f>
        <v>6.16</v>
      </c>
    </row>
    <row r="72" spans="1:14" x14ac:dyDescent="0.35">
      <c r="A72" t="s">
        <v>41</v>
      </c>
      <c r="B72" s="3">
        <v>45723</v>
      </c>
      <c r="C72">
        <v>8.57</v>
      </c>
      <c r="D72">
        <v>13</v>
      </c>
      <c r="E72">
        <v>2.19</v>
      </c>
      <c r="F72">
        <v>0.56999999999999995</v>
      </c>
      <c r="G72" s="4">
        <f>tblTime[[#This Row],[Tickets Handled]]/tblTime[[#This Row],[Hours Worked]]</f>
        <v>1.5169194865810969</v>
      </c>
      <c r="H72" s="7">
        <f>(tblTime[[#This Row],[Hours Worked]]-tblTime[[#This Row],[Idle Time (hrs)]])/tblTime[[#This Row],[Hours Worked]]</f>
        <v>0.74445740956826145</v>
      </c>
      <c r="I72" s="4">
        <f>tblTime[[#This Row],[Hours Worked]]-tblTime[[#This Row],[Idle Time (hrs)]]</f>
        <v>6.3800000000000008</v>
      </c>
      <c r="J72" t="str">
        <f>VLOOKUP(tblTime[[#This Row],[Agent Name]],tblAgents[[#All],[Agent Name]:[Experience Level]],2,FALSE)</f>
        <v>Junior</v>
      </c>
      <c r="K72" t="str">
        <f>VLOOKUP(tblTime[[#This Row],[Agent Name]],Agent_Info!A:C,3,FALSE)</f>
        <v>Team 1</v>
      </c>
      <c r="L72" t="str">
        <f>VLOOKUP(tblTime[[#This Row],[Agent Name]],Agent_Info!A:D,4,FALSE)</f>
        <v>richmond</v>
      </c>
      <c r="M72" t="str">
        <f>VLOOKUP(tblTime[[#This Row],[Agent Name]],Agent_Info!$A:$E,5,FALSE)</f>
        <v>F</v>
      </c>
      <c r="N72">
        <f>SUMIFS(Support_Tickets!J:J, Support_Tickets!B:B, tblTime[[#This Row],[Date]],Support_Tickets!F:F,tblTime[[#This Row],[Agent Name]])</f>
        <v>1.86</v>
      </c>
    </row>
    <row r="73" spans="1:14" x14ac:dyDescent="0.35">
      <c r="A73" t="s">
        <v>45</v>
      </c>
      <c r="B73" s="3">
        <v>45731</v>
      </c>
      <c r="C73">
        <v>8.93</v>
      </c>
      <c r="D73">
        <v>9</v>
      </c>
      <c r="E73">
        <v>2.27</v>
      </c>
      <c r="F73">
        <v>0.93</v>
      </c>
      <c r="G73" s="4">
        <f>tblTime[[#This Row],[Tickets Handled]]/tblTime[[#This Row],[Hours Worked]]</f>
        <v>1.0078387458006719</v>
      </c>
      <c r="H73" s="7">
        <f>(tblTime[[#This Row],[Hours Worked]]-tblTime[[#This Row],[Idle Time (hrs)]])/tblTime[[#This Row],[Hours Worked]]</f>
        <v>0.74580067189249721</v>
      </c>
      <c r="I73" s="4">
        <f>tblTime[[#This Row],[Hours Worked]]-tblTime[[#This Row],[Idle Time (hrs)]]</f>
        <v>6.66</v>
      </c>
      <c r="J73" t="str">
        <f>VLOOKUP(tblTime[[#This Row],[Agent Name]],tblAgents[[#All],[Agent Name]:[Experience Level]],2,FALSE)</f>
        <v>Junior</v>
      </c>
      <c r="K73" t="str">
        <f>VLOOKUP(tblTime[[#This Row],[Agent Name]],Agent_Info!A:C,3,FALSE)</f>
        <v>Team 1</v>
      </c>
      <c r="L73" t="str">
        <f>VLOOKUP(tblTime[[#This Row],[Agent Name]],Agent_Info!A:D,4,FALSE)</f>
        <v>new york</v>
      </c>
      <c r="M73" t="str">
        <f>VLOOKUP(tblTime[[#This Row],[Agent Name]],Agent_Info!$A:$E,5,FALSE)</f>
        <v>F</v>
      </c>
      <c r="N73">
        <f>SUMIFS(Support_Tickets!J:J, Support_Tickets!B:B, tblTime[[#This Row],[Date]],Support_Tickets!F:F,tblTime[[#This Row],[Agent Name]])</f>
        <v>5.65</v>
      </c>
    </row>
    <row r="74" spans="1:14" x14ac:dyDescent="0.35">
      <c r="A74" t="s">
        <v>41</v>
      </c>
      <c r="B74" s="3">
        <v>45698</v>
      </c>
      <c r="C74">
        <v>9.48</v>
      </c>
      <c r="D74">
        <v>9</v>
      </c>
      <c r="E74">
        <v>2.38</v>
      </c>
      <c r="F74">
        <v>1.48</v>
      </c>
      <c r="G74" s="4">
        <f>tblTime[[#This Row],[Tickets Handled]]/tblTime[[#This Row],[Hours Worked]]</f>
        <v>0.94936708860759489</v>
      </c>
      <c r="H74" s="7">
        <f>(tblTime[[#This Row],[Hours Worked]]-tblTime[[#This Row],[Idle Time (hrs)]])/tblTime[[#This Row],[Hours Worked]]</f>
        <v>0.74894514767932496</v>
      </c>
      <c r="I74" s="4">
        <f>tblTime[[#This Row],[Hours Worked]]-tblTime[[#This Row],[Idle Time (hrs)]]</f>
        <v>7.1000000000000005</v>
      </c>
      <c r="J74" t="str">
        <f>VLOOKUP(tblTime[[#This Row],[Agent Name]],tblAgents[[#All],[Agent Name]:[Experience Level]],2,FALSE)</f>
        <v>Junior</v>
      </c>
      <c r="K74" t="str">
        <f>VLOOKUP(tblTime[[#This Row],[Agent Name]],Agent_Info!A:C,3,FALSE)</f>
        <v>Team 1</v>
      </c>
      <c r="L74" t="str">
        <f>VLOOKUP(tblTime[[#This Row],[Agent Name]],Agent_Info!A:D,4,FALSE)</f>
        <v>richmond</v>
      </c>
      <c r="M74" t="str">
        <f>VLOOKUP(tblTime[[#This Row],[Agent Name]],Agent_Info!$A:$E,5,FALSE)</f>
        <v>F</v>
      </c>
      <c r="N74">
        <f>SUMIFS(Support_Tickets!J:J, Support_Tickets!B:B, tblTime[[#This Row],[Date]],Support_Tickets!F:F,tblTime[[#This Row],[Agent Name]])</f>
        <v>9.83</v>
      </c>
    </row>
    <row r="75" spans="1:14" x14ac:dyDescent="0.35">
      <c r="A75" t="s">
        <v>41</v>
      </c>
      <c r="B75" s="3">
        <v>45736</v>
      </c>
      <c r="C75">
        <v>7.37</v>
      </c>
      <c r="D75">
        <v>20</v>
      </c>
      <c r="E75">
        <v>1.83</v>
      </c>
      <c r="F75">
        <v>0</v>
      </c>
      <c r="G75" s="4">
        <f>tblTime[[#This Row],[Tickets Handled]]/tblTime[[#This Row],[Hours Worked]]</f>
        <v>2.7137042062415198</v>
      </c>
      <c r="H75" s="7">
        <f>(tblTime[[#This Row],[Hours Worked]]-tblTime[[#This Row],[Idle Time (hrs)]])/tblTime[[#This Row],[Hours Worked]]</f>
        <v>0.75169606512890097</v>
      </c>
      <c r="I75" s="4">
        <f>tblTime[[#This Row],[Hours Worked]]-tblTime[[#This Row],[Idle Time (hrs)]]</f>
        <v>5.54</v>
      </c>
      <c r="J75" t="str">
        <f>VLOOKUP(tblTime[[#This Row],[Agent Name]],tblAgents[[#All],[Agent Name]:[Experience Level]],2,FALSE)</f>
        <v>Junior</v>
      </c>
      <c r="K75" t="str">
        <f>VLOOKUP(tblTime[[#This Row],[Agent Name]],Agent_Info!A:C,3,FALSE)</f>
        <v>Team 1</v>
      </c>
      <c r="L75" t="str">
        <f>VLOOKUP(tblTime[[#This Row],[Agent Name]],Agent_Info!A:D,4,FALSE)</f>
        <v>richmond</v>
      </c>
      <c r="M75" t="str">
        <f>VLOOKUP(tblTime[[#This Row],[Agent Name]],Agent_Info!$A:$E,5,FALSE)</f>
        <v>F</v>
      </c>
      <c r="N75">
        <f>SUMIFS(Support_Tickets!J:J, Support_Tickets!B:B, tblTime[[#This Row],[Date]],Support_Tickets!F:F,tblTime[[#This Row],[Agent Name]])</f>
        <v>3.3</v>
      </c>
    </row>
    <row r="76" spans="1:14" x14ac:dyDescent="0.35">
      <c r="A76" t="s">
        <v>14</v>
      </c>
      <c r="B76" s="3">
        <v>45691</v>
      </c>
      <c r="C76">
        <v>8.1199999999999992</v>
      </c>
      <c r="D76">
        <v>22</v>
      </c>
      <c r="E76">
        <v>1.98</v>
      </c>
      <c r="F76">
        <v>0.12</v>
      </c>
      <c r="G76" s="4">
        <f>tblTime[[#This Row],[Tickets Handled]]/tblTime[[#This Row],[Hours Worked]]</f>
        <v>2.7093596059113305</v>
      </c>
      <c r="H76" s="7">
        <f>(tblTime[[#This Row],[Hours Worked]]-tblTime[[#This Row],[Idle Time (hrs)]])/tblTime[[#This Row],[Hours Worked]]</f>
        <v>0.7561576354679802</v>
      </c>
      <c r="I76" s="4">
        <f>tblTime[[#This Row],[Hours Worked]]-tblTime[[#This Row],[Idle Time (hrs)]]</f>
        <v>6.1399999999999988</v>
      </c>
      <c r="J76" t="str">
        <f>VLOOKUP(tblTime[[#This Row],[Agent Name]],tblAgents[[#All],[Agent Name]:[Experience Level]],2,FALSE)</f>
        <v>Senior</v>
      </c>
      <c r="K76" t="str">
        <f>VLOOKUP(tblTime[[#This Row],[Agent Name]],Agent_Info!A:C,3,FALSE)</f>
        <v>Team 2</v>
      </c>
      <c r="L76" t="str">
        <f>VLOOKUP(tblTime[[#This Row],[Agent Name]],Agent_Info!A:D,4,FALSE)</f>
        <v>hillsborough</v>
      </c>
      <c r="M76" t="str">
        <f>VLOOKUP(tblTime[[#This Row],[Agent Name]],Agent_Info!$A:$E,5,FALSE)</f>
        <v>M</v>
      </c>
      <c r="N76">
        <f>SUMIFS(Support_Tickets!J:J, Support_Tickets!B:B, tblTime[[#This Row],[Date]],Support_Tickets!F:F,tblTime[[#This Row],[Agent Name]])</f>
        <v>0</v>
      </c>
    </row>
    <row r="77" spans="1:14" x14ac:dyDescent="0.35">
      <c r="A77" t="s">
        <v>45</v>
      </c>
      <c r="B77" s="3">
        <v>45732</v>
      </c>
      <c r="C77">
        <v>7.52</v>
      </c>
      <c r="D77">
        <v>11</v>
      </c>
      <c r="E77">
        <v>1.83</v>
      </c>
      <c r="F77">
        <v>0</v>
      </c>
      <c r="G77" s="4">
        <f>tblTime[[#This Row],[Tickets Handled]]/tblTime[[#This Row],[Hours Worked]]</f>
        <v>1.4627659574468086</v>
      </c>
      <c r="H77" s="7">
        <f>(tblTime[[#This Row],[Hours Worked]]-tblTime[[#This Row],[Idle Time (hrs)]])/tblTime[[#This Row],[Hours Worked]]</f>
        <v>0.75664893617021278</v>
      </c>
      <c r="I77" s="4">
        <f>tblTime[[#This Row],[Hours Worked]]-tblTime[[#This Row],[Idle Time (hrs)]]</f>
        <v>5.6899999999999995</v>
      </c>
      <c r="J77" t="str">
        <f>VLOOKUP(tblTime[[#This Row],[Agent Name]],tblAgents[[#All],[Agent Name]:[Experience Level]],2,FALSE)</f>
        <v>Junior</v>
      </c>
      <c r="K77" t="str">
        <f>VLOOKUP(tblTime[[#This Row],[Agent Name]],Agent_Info!A:C,3,FALSE)</f>
        <v>Team 1</v>
      </c>
      <c r="L77" t="str">
        <f>VLOOKUP(tblTime[[#This Row],[Agent Name]],Agent_Info!A:D,4,FALSE)</f>
        <v>new york</v>
      </c>
      <c r="M77" t="str">
        <f>VLOOKUP(tblTime[[#This Row],[Agent Name]],Agent_Info!$A:$E,5,FALSE)</f>
        <v>F</v>
      </c>
      <c r="N77">
        <f>SUMIFS(Support_Tickets!J:J, Support_Tickets!B:B, tblTime[[#This Row],[Date]],Support_Tickets!F:F,tblTime[[#This Row],[Agent Name]])</f>
        <v>6.16</v>
      </c>
    </row>
    <row r="78" spans="1:14" x14ac:dyDescent="0.35">
      <c r="A78" t="s">
        <v>14</v>
      </c>
      <c r="B78" s="3">
        <v>45710</v>
      </c>
      <c r="C78">
        <v>7.86</v>
      </c>
      <c r="D78">
        <v>15</v>
      </c>
      <c r="E78">
        <v>1.88</v>
      </c>
      <c r="F78">
        <v>0</v>
      </c>
      <c r="G78" s="4">
        <f>tblTime[[#This Row],[Tickets Handled]]/tblTime[[#This Row],[Hours Worked]]</f>
        <v>1.9083969465648853</v>
      </c>
      <c r="H78" s="7">
        <f>(tblTime[[#This Row],[Hours Worked]]-tblTime[[#This Row],[Idle Time (hrs)]])/tblTime[[#This Row],[Hours Worked]]</f>
        <v>0.76081424936386766</v>
      </c>
      <c r="I78" s="4">
        <f>tblTime[[#This Row],[Hours Worked]]-tblTime[[#This Row],[Idle Time (hrs)]]</f>
        <v>5.98</v>
      </c>
      <c r="J78" t="str">
        <f>VLOOKUP(tblTime[[#This Row],[Agent Name]],tblAgents[[#All],[Agent Name]:[Experience Level]],2,FALSE)</f>
        <v>Senior</v>
      </c>
      <c r="K78" t="str">
        <f>VLOOKUP(tblTime[[#This Row],[Agent Name]],Agent_Info!A:C,3,FALSE)</f>
        <v>Team 2</v>
      </c>
      <c r="L78" t="str">
        <f>VLOOKUP(tblTime[[#This Row],[Agent Name]],Agent_Info!A:D,4,FALSE)</f>
        <v>hillsborough</v>
      </c>
      <c r="M78" t="str">
        <f>VLOOKUP(tblTime[[#This Row],[Agent Name]],Agent_Info!$A:$E,5,FALSE)</f>
        <v>M</v>
      </c>
      <c r="N78">
        <f>SUMIFS(Support_Tickets!J:J, Support_Tickets!B:B, tblTime[[#This Row],[Date]],Support_Tickets!F:F,tblTime[[#This Row],[Agent Name]])</f>
        <v>0.86</v>
      </c>
    </row>
    <row r="79" spans="1:14" x14ac:dyDescent="0.35">
      <c r="A79" t="s">
        <v>14</v>
      </c>
      <c r="B79" s="3">
        <v>45700</v>
      </c>
      <c r="C79">
        <v>8.89</v>
      </c>
      <c r="D79">
        <v>16</v>
      </c>
      <c r="E79">
        <v>2.12</v>
      </c>
      <c r="F79">
        <v>0.89</v>
      </c>
      <c r="G79" s="4">
        <f>tblTime[[#This Row],[Tickets Handled]]/tblTime[[#This Row],[Hours Worked]]</f>
        <v>1.7997750281214846</v>
      </c>
      <c r="H79" s="7">
        <f>(tblTime[[#This Row],[Hours Worked]]-tblTime[[#This Row],[Idle Time (hrs)]])/tblTime[[#This Row],[Hours Worked]]</f>
        <v>0.76152980877390331</v>
      </c>
      <c r="I79" s="4">
        <f>tblTime[[#This Row],[Hours Worked]]-tblTime[[#This Row],[Idle Time (hrs)]]</f>
        <v>6.7700000000000005</v>
      </c>
      <c r="J79" t="str">
        <f>VLOOKUP(tblTime[[#This Row],[Agent Name]],tblAgents[[#All],[Agent Name]:[Experience Level]],2,FALSE)</f>
        <v>Senior</v>
      </c>
      <c r="K79" t="str">
        <f>VLOOKUP(tblTime[[#This Row],[Agent Name]],Agent_Info!A:C,3,FALSE)</f>
        <v>Team 2</v>
      </c>
      <c r="L79" t="str">
        <f>VLOOKUP(tblTime[[#This Row],[Agent Name]],Agent_Info!A:D,4,FALSE)</f>
        <v>hillsborough</v>
      </c>
      <c r="M79" t="str">
        <f>VLOOKUP(tblTime[[#This Row],[Agent Name]],Agent_Info!$A:$E,5,FALSE)</f>
        <v>M</v>
      </c>
      <c r="N79">
        <f>SUMIFS(Support_Tickets!J:J, Support_Tickets!B:B, tblTime[[#This Row],[Date]],Support_Tickets!F:F,tblTime[[#This Row],[Agent Name]])</f>
        <v>3.09</v>
      </c>
    </row>
    <row r="80" spans="1:14" x14ac:dyDescent="0.35">
      <c r="A80" t="s">
        <v>25</v>
      </c>
      <c r="B80" s="3">
        <v>45735</v>
      </c>
      <c r="C80">
        <v>8.16</v>
      </c>
      <c r="D80">
        <v>14</v>
      </c>
      <c r="E80">
        <v>1.9</v>
      </c>
      <c r="F80">
        <v>0.16</v>
      </c>
      <c r="G80" s="4">
        <f>tblTime[[#This Row],[Tickets Handled]]/tblTime[[#This Row],[Hours Worked]]</f>
        <v>1.7156862745098038</v>
      </c>
      <c r="H80" s="7">
        <f>(tblTime[[#This Row],[Hours Worked]]-tblTime[[#This Row],[Idle Time (hrs)]])/tblTime[[#This Row],[Hours Worked]]</f>
        <v>0.76715686274509798</v>
      </c>
      <c r="I80" s="4">
        <f>tblTime[[#This Row],[Hours Worked]]-tblTime[[#This Row],[Idle Time (hrs)]]</f>
        <v>6.26</v>
      </c>
      <c r="J80" t="str">
        <f>VLOOKUP(tblTime[[#This Row],[Agent Name]],tblAgents[[#All],[Agent Name]:[Experience Level]],2,FALSE)</f>
        <v>Mid</v>
      </c>
      <c r="K80" t="str">
        <f>VLOOKUP(tblTime[[#This Row],[Agent Name]],Agent_Info!A:C,3,FALSE)</f>
        <v>Team 2</v>
      </c>
      <c r="L80" t="str">
        <f>VLOOKUP(tblTime[[#This Row],[Agent Name]],Agent_Info!A:D,4,FALSE)</f>
        <v>dallas</v>
      </c>
      <c r="M80" t="str">
        <f>VLOOKUP(tblTime[[#This Row],[Agent Name]],Agent_Info!$A:$E,5,FALSE)</f>
        <v>M</v>
      </c>
      <c r="N80">
        <f>SUMIFS(Support_Tickets!J:J, Support_Tickets!B:B, tblTime[[#This Row],[Date]],Support_Tickets!F:F,tblTime[[#This Row],[Agent Name]])</f>
        <v>5.72</v>
      </c>
    </row>
    <row r="81" spans="1:14" x14ac:dyDescent="0.35">
      <c r="A81" t="s">
        <v>45</v>
      </c>
      <c r="B81" s="3">
        <v>45664</v>
      </c>
      <c r="C81">
        <v>9.91</v>
      </c>
      <c r="D81">
        <v>7</v>
      </c>
      <c r="E81">
        <v>2.2999999999999998</v>
      </c>
      <c r="F81">
        <v>1.91</v>
      </c>
      <c r="G81" s="4">
        <f>tblTime[[#This Row],[Tickets Handled]]/tblTime[[#This Row],[Hours Worked]]</f>
        <v>0.70635721493440973</v>
      </c>
      <c r="H81" s="7">
        <f>(tblTime[[#This Row],[Hours Worked]]-tblTime[[#This Row],[Idle Time (hrs)]])/tblTime[[#This Row],[Hours Worked]]</f>
        <v>0.76791120080726538</v>
      </c>
      <c r="I81" s="4">
        <f>tblTime[[#This Row],[Hours Worked]]-tblTime[[#This Row],[Idle Time (hrs)]]</f>
        <v>7.61</v>
      </c>
      <c r="J81" t="str">
        <f>VLOOKUP(tblTime[[#This Row],[Agent Name]],tblAgents[[#All],[Agent Name]:[Experience Level]],2,FALSE)</f>
        <v>Junior</v>
      </c>
      <c r="K81" t="str">
        <f>VLOOKUP(tblTime[[#This Row],[Agent Name]],Agent_Info!A:C,3,FALSE)</f>
        <v>Team 1</v>
      </c>
      <c r="L81" t="str">
        <f>VLOOKUP(tblTime[[#This Row],[Agent Name]],Agent_Info!A:D,4,FALSE)</f>
        <v>new york</v>
      </c>
      <c r="M81" t="str">
        <f>VLOOKUP(tblTime[[#This Row],[Agent Name]],Agent_Info!$A:$E,5,FALSE)</f>
        <v>F</v>
      </c>
      <c r="N81">
        <f>SUMIFS(Support_Tickets!J:J, Support_Tickets!B:B, tblTime[[#This Row],[Date]],Support_Tickets!F:F,tblTime[[#This Row],[Agent Name]])</f>
        <v>0</v>
      </c>
    </row>
    <row r="82" spans="1:14" x14ac:dyDescent="0.35">
      <c r="A82" t="s">
        <v>41</v>
      </c>
      <c r="B82" s="3">
        <v>45722</v>
      </c>
      <c r="C82">
        <v>8.8699999999999992</v>
      </c>
      <c r="D82">
        <v>23</v>
      </c>
      <c r="E82">
        <v>2.0299999999999998</v>
      </c>
      <c r="F82">
        <v>0.87</v>
      </c>
      <c r="G82" s="4">
        <f>tblTime[[#This Row],[Tickets Handled]]/tblTime[[#This Row],[Hours Worked]]</f>
        <v>2.5930101465614435</v>
      </c>
      <c r="H82" s="7">
        <f>(tblTime[[#This Row],[Hours Worked]]-tblTime[[#This Row],[Idle Time (hrs)]])/tblTime[[#This Row],[Hours Worked]]</f>
        <v>0.77113866967305533</v>
      </c>
      <c r="I82" s="4">
        <f>tblTime[[#This Row],[Hours Worked]]-tblTime[[#This Row],[Idle Time (hrs)]]</f>
        <v>6.84</v>
      </c>
      <c r="J82" t="str">
        <f>VLOOKUP(tblTime[[#This Row],[Agent Name]],tblAgents[[#All],[Agent Name]:[Experience Level]],2,FALSE)</f>
        <v>Junior</v>
      </c>
      <c r="K82" t="str">
        <f>VLOOKUP(tblTime[[#This Row],[Agent Name]],Agent_Info!A:C,3,FALSE)</f>
        <v>Team 1</v>
      </c>
      <c r="L82" t="str">
        <f>VLOOKUP(tblTime[[#This Row],[Agent Name]],Agent_Info!A:D,4,FALSE)</f>
        <v>richmond</v>
      </c>
      <c r="M82" t="str">
        <f>VLOOKUP(tblTime[[#This Row],[Agent Name]],Agent_Info!$A:$E,5,FALSE)</f>
        <v>F</v>
      </c>
      <c r="N82">
        <f>SUMIFS(Support_Tickets!J:J, Support_Tickets!B:B, tblTime[[#This Row],[Date]],Support_Tickets!F:F,tblTime[[#This Row],[Agent Name]])</f>
        <v>0.6</v>
      </c>
    </row>
    <row r="83" spans="1:14" x14ac:dyDescent="0.35">
      <c r="A83" t="s">
        <v>20</v>
      </c>
      <c r="B83" s="3">
        <v>45687</v>
      </c>
      <c r="C83">
        <v>9.86</v>
      </c>
      <c r="D83">
        <v>6</v>
      </c>
      <c r="E83">
        <v>2.2400000000000002</v>
      </c>
      <c r="F83">
        <v>1.86</v>
      </c>
      <c r="G83" s="4">
        <f>tblTime[[#This Row],[Tickets Handled]]/tblTime[[#This Row],[Hours Worked]]</f>
        <v>0.60851926977687631</v>
      </c>
      <c r="H83" s="7">
        <f>(tblTime[[#This Row],[Hours Worked]]-tblTime[[#This Row],[Idle Time (hrs)]])/tblTime[[#This Row],[Hours Worked]]</f>
        <v>0.77281947261663286</v>
      </c>
      <c r="I83" s="4">
        <f>tblTime[[#This Row],[Hours Worked]]-tblTime[[#This Row],[Idle Time (hrs)]]</f>
        <v>7.6199999999999992</v>
      </c>
      <c r="J83" t="str">
        <f>VLOOKUP(tblTime[[#This Row],[Agent Name]],tblAgents[[#All],[Agent Name]:[Experience Level]],2,FALSE)</f>
        <v>Junior</v>
      </c>
      <c r="K83" t="str">
        <f>VLOOKUP(tblTime[[#This Row],[Agent Name]],Agent_Info!A:C,3,FALSE)</f>
        <v>Team 2</v>
      </c>
      <c r="L83" t="str">
        <f>VLOOKUP(tblTime[[#This Row],[Agent Name]],Agent_Info!A:D,4,FALSE)</f>
        <v>edison</v>
      </c>
      <c r="M83" t="str">
        <f>VLOOKUP(tblTime[[#This Row],[Agent Name]],Agent_Info!$A:$E,5,FALSE)</f>
        <v>F</v>
      </c>
      <c r="N83">
        <f>SUMIFS(Support_Tickets!J:J, Support_Tickets!B:B, tblTime[[#This Row],[Date]],Support_Tickets!F:F,tblTime[[#This Row],[Agent Name]])</f>
        <v>7.3</v>
      </c>
    </row>
    <row r="84" spans="1:14" x14ac:dyDescent="0.35">
      <c r="A84" t="s">
        <v>41</v>
      </c>
      <c r="B84" s="3">
        <v>45692</v>
      </c>
      <c r="C84">
        <v>8.4</v>
      </c>
      <c r="D84">
        <v>15</v>
      </c>
      <c r="E84">
        <v>1.9</v>
      </c>
      <c r="F84">
        <v>0.4</v>
      </c>
      <c r="G84" s="4">
        <f>tblTime[[#This Row],[Tickets Handled]]/tblTime[[#This Row],[Hours Worked]]</f>
        <v>1.7857142857142856</v>
      </c>
      <c r="H84" s="7">
        <f>(tblTime[[#This Row],[Hours Worked]]-tblTime[[#This Row],[Idle Time (hrs)]])/tblTime[[#This Row],[Hours Worked]]</f>
        <v>0.77380952380952372</v>
      </c>
      <c r="I84" s="4">
        <f>tblTime[[#This Row],[Hours Worked]]-tblTime[[#This Row],[Idle Time (hrs)]]</f>
        <v>6.5</v>
      </c>
      <c r="J84" t="str">
        <f>VLOOKUP(tblTime[[#This Row],[Agent Name]],tblAgents[[#All],[Agent Name]:[Experience Level]],2,FALSE)</f>
        <v>Junior</v>
      </c>
      <c r="K84" t="str">
        <f>VLOOKUP(tblTime[[#This Row],[Agent Name]],Agent_Info!A:C,3,FALSE)</f>
        <v>Team 1</v>
      </c>
      <c r="L84" t="str">
        <f>VLOOKUP(tblTime[[#This Row],[Agent Name]],Agent_Info!A:D,4,FALSE)</f>
        <v>richmond</v>
      </c>
      <c r="M84" t="str">
        <f>VLOOKUP(tblTime[[#This Row],[Agent Name]],Agent_Info!$A:$E,5,FALSE)</f>
        <v>F</v>
      </c>
      <c r="N84">
        <f>SUMIFS(Support_Tickets!J:J, Support_Tickets!B:B, tblTime[[#This Row],[Date]],Support_Tickets!F:F,tblTime[[#This Row],[Agent Name]])</f>
        <v>0</v>
      </c>
    </row>
    <row r="85" spans="1:14" x14ac:dyDescent="0.35">
      <c r="A85" t="s">
        <v>41</v>
      </c>
      <c r="B85" s="3">
        <v>45706</v>
      </c>
      <c r="C85">
        <v>7.71</v>
      </c>
      <c r="D85">
        <v>20</v>
      </c>
      <c r="E85">
        <v>1.72</v>
      </c>
      <c r="F85">
        <v>0</v>
      </c>
      <c r="G85" s="4">
        <f>tblTime[[#This Row],[Tickets Handled]]/tblTime[[#This Row],[Hours Worked]]</f>
        <v>2.5940337224383918</v>
      </c>
      <c r="H85" s="7">
        <f>(tblTime[[#This Row],[Hours Worked]]-tblTime[[#This Row],[Idle Time (hrs)]])/tblTime[[#This Row],[Hours Worked]]</f>
        <v>0.77691309987029833</v>
      </c>
      <c r="I85" s="4">
        <f>tblTime[[#This Row],[Hours Worked]]-tblTime[[#This Row],[Idle Time (hrs)]]</f>
        <v>5.99</v>
      </c>
      <c r="J85" t="str">
        <f>VLOOKUP(tblTime[[#This Row],[Agent Name]],tblAgents[[#All],[Agent Name]:[Experience Level]],2,FALSE)</f>
        <v>Junior</v>
      </c>
      <c r="K85" t="str">
        <f>VLOOKUP(tblTime[[#This Row],[Agent Name]],Agent_Info!A:C,3,FALSE)</f>
        <v>Team 1</v>
      </c>
      <c r="L85" t="str">
        <f>VLOOKUP(tblTime[[#This Row],[Agent Name]],Agent_Info!A:D,4,FALSE)</f>
        <v>richmond</v>
      </c>
      <c r="M85" t="str">
        <f>VLOOKUP(tblTime[[#This Row],[Agent Name]],Agent_Info!$A:$E,5,FALSE)</f>
        <v>F</v>
      </c>
      <c r="N85">
        <f>SUMIFS(Support_Tickets!J:J, Support_Tickets!B:B, tblTime[[#This Row],[Date]],Support_Tickets!F:F,tblTime[[#This Row],[Agent Name]])</f>
        <v>0</v>
      </c>
    </row>
    <row r="86" spans="1:14" x14ac:dyDescent="0.35">
      <c r="A86" t="s">
        <v>41</v>
      </c>
      <c r="B86" s="3">
        <v>45706</v>
      </c>
      <c r="C86">
        <v>7.99</v>
      </c>
      <c r="D86">
        <v>23</v>
      </c>
      <c r="E86">
        <v>1.78</v>
      </c>
      <c r="F86">
        <v>0</v>
      </c>
      <c r="G86" s="4">
        <f>tblTime[[#This Row],[Tickets Handled]]/tblTime[[#This Row],[Hours Worked]]</f>
        <v>2.8785982478097623</v>
      </c>
      <c r="H86" s="7">
        <f>(tblTime[[#This Row],[Hours Worked]]-tblTime[[#This Row],[Idle Time (hrs)]])/tblTime[[#This Row],[Hours Worked]]</f>
        <v>0.77722152690863577</v>
      </c>
      <c r="I86" s="4">
        <f>tblTime[[#This Row],[Hours Worked]]-tblTime[[#This Row],[Idle Time (hrs)]]</f>
        <v>6.21</v>
      </c>
      <c r="J86" t="str">
        <f>VLOOKUP(tblTime[[#This Row],[Agent Name]],tblAgents[[#All],[Agent Name]:[Experience Level]],2,FALSE)</f>
        <v>Junior</v>
      </c>
      <c r="K86" t="str">
        <f>VLOOKUP(tblTime[[#This Row],[Agent Name]],Agent_Info!A:C,3,FALSE)</f>
        <v>Team 1</v>
      </c>
      <c r="L86" t="str">
        <f>VLOOKUP(tblTime[[#This Row],[Agent Name]],Agent_Info!A:D,4,FALSE)</f>
        <v>richmond</v>
      </c>
      <c r="M86" t="str">
        <f>VLOOKUP(tblTime[[#This Row],[Agent Name]],Agent_Info!$A:$E,5,FALSE)</f>
        <v>F</v>
      </c>
      <c r="N86">
        <f>SUMIFS(Support_Tickets!J:J, Support_Tickets!B:B, tblTime[[#This Row],[Date]],Support_Tickets!F:F,tblTime[[#This Row],[Agent Name]])</f>
        <v>0</v>
      </c>
    </row>
    <row r="87" spans="1:14" x14ac:dyDescent="0.35">
      <c r="A87" t="s">
        <v>20</v>
      </c>
      <c r="B87" s="3">
        <v>45709</v>
      </c>
      <c r="C87">
        <v>8.4</v>
      </c>
      <c r="D87">
        <v>17</v>
      </c>
      <c r="E87">
        <v>1.87</v>
      </c>
      <c r="F87">
        <v>0.4</v>
      </c>
      <c r="G87" s="4">
        <f>tblTime[[#This Row],[Tickets Handled]]/tblTime[[#This Row],[Hours Worked]]</f>
        <v>2.0238095238095237</v>
      </c>
      <c r="H87" s="7">
        <f>(tblTime[[#This Row],[Hours Worked]]-tblTime[[#This Row],[Idle Time (hrs)]])/tblTime[[#This Row],[Hours Worked]]</f>
        <v>0.77738095238095239</v>
      </c>
      <c r="I87" s="4">
        <f>tblTime[[#This Row],[Hours Worked]]-tblTime[[#This Row],[Idle Time (hrs)]]</f>
        <v>6.53</v>
      </c>
      <c r="J87" t="str">
        <f>VLOOKUP(tblTime[[#This Row],[Agent Name]],tblAgents[[#All],[Agent Name]:[Experience Level]],2,FALSE)</f>
        <v>Junior</v>
      </c>
      <c r="K87" t="str">
        <f>VLOOKUP(tblTime[[#This Row],[Agent Name]],Agent_Info!A:C,3,FALSE)</f>
        <v>Team 2</v>
      </c>
      <c r="L87" t="str">
        <f>VLOOKUP(tblTime[[#This Row],[Agent Name]],Agent_Info!A:D,4,FALSE)</f>
        <v>edison</v>
      </c>
      <c r="M87" t="str">
        <f>VLOOKUP(tblTime[[#This Row],[Agent Name]],Agent_Info!$A:$E,5,FALSE)</f>
        <v>F</v>
      </c>
      <c r="N87">
        <f>SUMIFS(Support_Tickets!J:J, Support_Tickets!B:B, tblTime[[#This Row],[Date]],Support_Tickets!F:F,tblTime[[#This Row],[Agent Name]])</f>
        <v>3.82</v>
      </c>
    </row>
    <row r="88" spans="1:14" x14ac:dyDescent="0.35">
      <c r="A88" t="s">
        <v>41</v>
      </c>
      <c r="B88" s="3">
        <v>45707</v>
      </c>
      <c r="C88">
        <v>6.12</v>
      </c>
      <c r="D88">
        <v>21</v>
      </c>
      <c r="E88">
        <v>1.36</v>
      </c>
      <c r="F88">
        <v>0</v>
      </c>
      <c r="G88" s="4">
        <f>tblTime[[#This Row],[Tickets Handled]]/tblTime[[#This Row],[Hours Worked]]</f>
        <v>3.4313725490196076</v>
      </c>
      <c r="H88" s="7">
        <f>(tblTime[[#This Row],[Hours Worked]]-tblTime[[#This Row],[Idle Time (hrs)]])/tblTime[[#This Row],[Hours Worked]]</f>
        <v>0.77777777777777768</v>
      </c>
      <c r="I88" s="4">
        <f>tblTime[[#This Row],[Hours Worked]]-tblTime[[#This Row],[Idle Time (hrs)]]</f>
        <v>4.76</v>
      </c>
      <c r="J88" t="str">
        <f>VLOOKUP(tblTime[[#This Row],[Agent Name]],tblAgents[[#All],[Agent Name]:[Experience Level]],2,FALSE)</f>
        <v>Junior</v>
      </c>
      <c r="K88" t="str">
        <f>VLOOKUP(tblTime[[#This Row],[Agent Name]],Agent_Info!A:C,3,FALSE)</f>
        <v>Team 1</v>
      </c>
      <c r="L88" t="str">
        <f>VLOOKUP(tblTime[[#This Row],[Agent Name]],Agent_Info!A:D,4,FALSE)</f>
        <v>richmond</v>
      </c>
      <c r="M88" t="str">
        <f>VLOOKUP(tblTime[[#This Row],[Agent Name]],Agent_Info!$A:$E,5,FALSE)</f>
        <v>F</v>
      </c>
      <c r="N88">
        <f>SUMIFS(Support_Tickets!J:J, Support_Tickets!B:B, tblTime[[#This Row],[Date]],Support_Tickets!F:F,tblTime[[#This Row],[Agent Name]])</f>
        <v>4.21</v>
      </c>
    </row>
    <row r="89" spans="1:14" x14ac:dyDescent="0.35">
      <c r="A89" t="s">
        <v>45</v>
      </c>
      <c r="B89" s="3">
        <v>45733</v>
      </c>
      <c r="C89">
        <v>7.22</v>
      </c>
      <c r="D89">
        <v>5</v>
      </c>
      <c r="E89">
        <v>1.6</v>
      </c>
      <c r="F89">
        <v>0</v>
      </c>
      <c r="G89" s="4">
        <f>tblTime[[#This Row],[Tickets Handled]]/tblTime[[#This Row],[Hours Worked]]</f>
        <v>0.69252077562326875</v>
      </c>
      <c r="H89" s="7">
        <f>(tblTime[[#This Row],[Hours Worked]]-tblTime[[#This Row],[Idle Time (hrs)]])/tblTime[[#This Row],[Hours Worked]]</f>
        <v>0.77839335180055391</v>
      </c>
      <c r="I89" s="4">
        <f>tblTime[[#This Row],[Hours Worked]]-tblTime[[#This Row],[Idle Time (hrs)]]</f>
        <v>5.6199999999999992</v>
      </c>
      <c r="J89" t="str">
        <f>VLOOKUP(tblTime[[#This Row],[Agent Name]],tblAgents[[#All],[Agent Name]:[Experience Level]],2,FALSE)</f>
        <v>Junior</v>
      </c>
      <c r="K89" t="str">
        <f>VLOOKUP(tblTime[[#This Row],[Agent Name]],Agent_Info!A:C,3,FALSE)</f>
        <v>Team 1</v>
      </c>
      <c r="L89" t="str">
        <f>VLOOKUP(tblTime[[#This Row],[Agent Name]],Agent_Info!A:D,4,FALSE)</f>
        <v>new york</v>
      </c>
      <c r="M89" t="str">
        <f>VLOOKUP(tblTime[[#This Row],[Agent Name]],Agent_Info!$A:$E,5,FALSE)</f>
        <v>F</v>
      </c>
      <c r="N89">
        <f>SUMIFS(Support_Tickets!J:J, Support_Tickets!B:B, tblTime[[#This Row],[Date]],Support_Tickets!F:F,tblTime[[#This Row],[Agent Name]])</f>
        <v>6.58</v>
      </c>
    </row>
    <row r="90" spans="1:14" x14ac:dyDescent="0.35">
      <c r="A90" t="s">
        <v>14</v>
      </c>
      <c r="B90" s="3">
        <v>45713</v>
      </c>
      <c r="C90">
        <v>9.82</v>
      </c>
      <c r="D90">
        <v>23</v>
      </c>
      <c r="E90">
        <v>2.16</v>
      </c>
      <c r="F90">
        <v>1.82</v>
      </c>
      <c r="G90" s="4">
        <f>tblTime[[#This Row],[Tickets Handled]]/tblTime[[#This Row],[Hours Worked]]</f>
        <v>2.3421588594704685</v>
      </c>
      <c r="H90" s="7">
        <f>(tblTime[[#This Row],[Hours Worked]]-tblTime[[#This Row],[Idle Time (hrs)]])/tblTime[[#This Row],[Hours Worked]]</f>
        <v>0.78004073319755596</v>
      </c>
      <c r="I90" s="4">
        <f>tblTime[[#This Row],[Hours Worked]]-tblTime[[#This Row],[Idle Time (hrs)]]</f>
        <v>7.66</v>
      </c>
      <c r="J90" t="str">
        <f>VLOOKUP(tblTime[[#This Row],[Agent Name]],tblAgents[[#All],[Agent Name]:[Experience Level]],2,FALSE)</f>
        <v>Senior</v>
      </c>
      <c r="K90" t="str">
        <f>VLOOKUP(tblTime[[#This Row],[Agent Name]],Agent_Info!A:C,3,FALSE)</f>
        <v>Team 2</v>
      </c>
      <c r="L90" t="str">
        <f>VLOOKUP(tblTime[[#This Row],[Agent Name]],Agent_Info!A:D,4,FALSE)</f>
        <v>hillsborough</v>
      </c>
      <c r="M90" t="str">
        <f>VLOOKUP(tblTime[[#This Row],[Agent Name]],Agent_Info!$A:$E,5,FALSE)</f>
        <v>M</v>
      </c>
      <c r="N90">
        <f>SUMIFS(Support_Tickets!J:J, Support_Tickets!B:B, tblTime[[#This Row],[Date]],Support_Tickets!F:F,tblTime[[#This Row],[Agent Name]])</f>
        <v>0</v>
      </c>
    </row>
    <row r="91" spans="1:14" x14ac:dyDescent="0.35">
      <c r="A91" t="s">
        <v>20</v>
      </c>
      <c r="B91" s="3">
        <v>45660</v>
      </c>
      <c r="C91">
        <v>6.18</v>
      </c>
      <c r="D91">
        <v>17</v>
      </c>
      <c r="E91">
        <v>1.35</v>
      </c>
      <c r="F91">
        <v>0</v>
      </c>
      <c r="G91" s="4">
        <f>tblTime[[#This Row],[Tickets Handled]]/tblTime[[#This Row],[Hours Worked]]</f>
        <v>2.7508090614886731</v>
      </c>
      <c r="H91" s="7">
        <f>(tblTime[[#This Row],[Hours Worked]]-tblTime[[#This Row],[Idle Time (hrs)]])/tblTime[[#This Row],[Hours Worked]]</f>
        <v>0.78155339805825252</v>
      </c>
      <c r="I91" s="4">
        <f>tblTime[[#This Row],[Hours Worked]]-tblTime[[#This Row],[Idle Time (hrs)]]</f>
        <v>4.83</v>
      </c>
      <c r="J91" t="str">
        <f>VLOOKUP(tblTime[[#This Row],[Agent Name]],tblAgents[[#All],[Agent Name]:[Experience Level]],2,FALSE)</f>
        <v>Junior</v>
      </c>
      <c r="K91" t="str">
        <f>VLOOKUP(tblTime[[#This Row],[Agent Name]],Agent_Info!A:C,3,FALSE)</f>
        <v>Team 2</v>
      </c>
      <c r="L91" t="str">
        <f>VLOOKUP(tblTime[[#This Row],[Agent Name]],Agent_Info!A:D,4,FALSE)</f>
        <v>edison</v>
      </c>
      <c r="M91" t="str">
        <f>VLOOKUP(tblTime[[#This Row],[Agent Name]],Agent_Info!$A:$E,5,FALSE)</f>
        <v>F</v>
      </c>
      <c r="N91">
        <f>SUMIFS(Support_Tickets!J:J, Support_Tickets!B:B, tblTime[[#This Row],[Date]],Support_Tickets!F:F,tblTime[[#This Row],[Agent Name]])</f>
        <v>6.9399999999999995</v>
      </c>
    </row>
    <row r="92" spans="1:14" x14ac:dyDescent="0.35">
      <c r="A92" t="s">
        <v>41</v>
      </c>
      <c r="B92" s="3">
        <v>45723</v>
      </c>
      <c r="C92">
        <v>8.11</v>
      </c>
      <c r="D92">
        <v>25</v>
      </c>
      <c r="E92">
        <v>1.72</v>
      </c>
      <c r="F92">
        <v>0.11</v>
      </c>
      <c r="G92" s="4">
        <f>tblTime[[#This Row],[Tickets Handled]]/tblTime[[#This Row],[Hours Worked]]</f>
        <v>3.0826140567200988</v>
      </c>
      <c r="H92" s="7">
        <f>(tblTime[[#This Row],[Hours Worked]]-tblTime[[#This Row],[Idle Time (hrs)]])/tblTime[[#This Row],[Hours Worked]]</f>
        <v>0.78791615289765726</v>
      </c>
      <c r="I92" s="4">
        <f>tblTime[[#This Row],[Hours Worked]]-tblTime[[#This Row],[Idle Time (hrs)]]</f>
        <v>6.39</v>
      </c>
      <c r="J92" t="str">
        <f>VLOOKUP(tblTime[[#This Row],[Agent Name]],tblAgents[[#All],[Agent Name]:[Experience Level]],2,FALSE)</f>
        <v>Junior</v>
      </c>
      <c r="K92" t="str">
        <f>VLOOKUP(tblTime[[#This Row],[Agent Name]],Agent_Info!A:C,3,FALSE)</f>
        <v>Team 1</v>
      </c>
      <c r="L92" t="str">
        <f>VLOOKUP(tblTime[[#This Row],[Agent Name]],Agent_Info!A:D,4,FALSE)</f>
        <v>richmond</v>
      </c>
      <c r="M92" t="str">
        <f>VLOOKUP(tblTime[[#This Row],[Agent Name]],Agent_Info!$A:$E,5,FALSE)</f>
        <v>F</v>
      </c>
      <c r="N92">
        <f>SUMIFS(Support_Tickets!J:J, Support_Tickets!B:B, tblTime[[#This Row],[Date]],Support_Tickets!F:F,tblTime[[#This Row],[Agent Name]])</f>
        <v>1.86</v>
      </c>
    </row>
    <row r="93" spans="1:14" x14ac:dyDescent="0.35">
      <c r="A93" t="s">
        <v>14</v>
      </c>
      <c r="B93" s="3">
        <v>45733</v>
      </c>
      <c r="C93">
        <v>9.3000000000000007</v>
      </c>
      <c r="D93">
        <v>17</v>
      </c>
      <c r="E93">
        <v>1.95</v>
      </c>
      <c r="F93">
        <v>1.3</v>
      </c>
      <c r="G93" s="4">
        <f>tblTime[[#This Row],[Tickets Handled]]/tblTime[[#This Row],[Hours Worked]]</f>
        <v>1.8279569892473118</v>
      </c>
      <c r="H93" s="7">
        <f>(tblTime[[#This Row],[Hours Worked]]-tblTime[[#This Row],[Idle Time (hrs)]])/tblTime[[#This Row],[Hours Worked]]</f>
        <v>0.79032258064516125</v>
      </c>
      <c r="I93" s="4">
        <f>tblTime[[#This Row],[Hours Worked]]-tblTime[[#This Row],[Idle Time (hrs)]]</f>
        <v>7.3500000000000005</v>
      </c>
      <c r="J93" t="str">
        <f>VLOOKUP(tblTime[[#This Row],[Agent Name]],tblAgents[[#All],[Agent Name]:[Experience Level]],2,FALSE)</f>
        <v>Senior</v>
      </c>
      <c r="K93" t="str">
        <f>VLOOKUP(tblTime[[#This Row],[Agent Name]],Agent_Info!A:C,3,FALSE)</f>
        <v>Team 2</v>
      </c>
      <c r="L93" t="str">
        <f>VLOOKUP(tblTime[[#This Row],[Agent Name]],Agent_Info!A:D,4,FALSE)</f>
        <v>hillsborough</v>
      </c>
      <c r="M93" t="str">
        <f>VLOOKUP(tblTime[[#This Row],[Agent Name]],Agent_Info!$A:$E,5,FALSE)</f>
        <v>M</v>
      </c>
      <c r="N93">
        <f>SUMIFS(Support_Tickets!J:J, Support_Tickets!B:B, tblTime[[#This Row],[Date]],Support_Tickets!F:F,tblTime[[#This Row],[Agent Name]])</f>
        <v>16.25</v>
      </c>
    </row>
    <row r="94" spans="1:14" x14ac:dyDescent="0.35">
      <c r="A94" t="s">
        <v>45</v>
      </c>
      <c r="B94" s="3">
        <v>45702</v>
      </c>
      <c r="C94">
        <v>7.23</v>
      </c>
      <c r="D94">
        <v>9</v>
      </c>
      <c r="E94">
        <v>1.51</v>
      </c>
      <c r="F94">
        <v>0</v>
      </c>
      <c r="G94" s="4">
        <f>tblTime[[#This Row],[Tickets Handled]]/tblTime[[#This Row],[Hours Worked]]</f>
        <v>1.2448132780082988</v>
      </c>
      <c r="H94" s="7">
        <f>(tblTime[[#This Row],[Hours Worked]]-tblTime[[#This Row],[Idle Time (hrs)]])/tblTime[[#This Row],[Hours Worked]]</f>
        <v>0.79114799446749662</v>
      </c>
      <c r="I94" s="4">
        <f>tblTime[[#This Row],[Hours Worked]]-tblTime[[#This Row],[Idle Time (hrs)]]</f>
        <v>5.7200000000000006</v>
      </c>
      <c r="J94" t="str">
        <f>VLOOKUP(tblTime[[#This Row],[Agent Name]],tblAgents[[#All],[Agent Name]:[Experience Level]],2,FALSE)</f>
        <v>Junior</v>
      </c>
      <c r="K94" t="str">
        <f>VLOOKUP(tblTime[[#This Row],[Agent Name]],Agent_Info!A:C,3,FALSE)</f>
        <v>Team 1</v>
      </c>
      <c r="L94" t="str">
        <f>VLOOKUP(tblTime[[#This Row],[Agent Name]],Agent_Info!A:D,4,FALSE)</f>
        <v>new york</v>
      </c>
      <c r="M94" t="str">
        <f>VLOOKUP(tblTime[[#This Row],[Agent Name]],Agent_Info!$A:$E,5,FALSE)</f>
        <v>F</v>
      </c>
      <c r="N94">
        <f>SUMIFS(Support_Tickets!J:J, Support_Tickets!B:B, tblTime[[#This Row],[Date]],Support_Tickets!F:F,tblTime[[#This Row],[Agent Name]])</f>
        <v>0</v>
      </c>
    </row>
    <row r="95" spans="1:14" x14ac:dyDescent="0.35">
      <c r="A95" t="s">
        <v>20</v>
      </c>
      <c r="B95" s="3">
        <v>45722</v>
      </c>
      <c r="C95">
        <v>6.63</v>
      </c>
      <c r="D95">
        <v>6</v>
      </c>
      <c r="E95">
        <v>1.37</v>
      </c>
      <c r="F95">
        <v>0</v>
      </c>
      <c r="G95" s="4">
        <f>tblTime[[#This Row],[Tickets Handled]]/tblTime[[#This Row],[Hours Worked]]</f>
        <v>0.90497737556561086</v>
      </c>
      <c r="H95" s="7">
        <f>(tblTime[[#This Row],[Hours Worked]]-tblTime[[#This Row],[Idle Time (hrs)]])/tblTime[[#This Row],[Hours Worked]]</f>
        <v>0.79336349924585214</v>
      </c>
      <c r="I95" s="4">
        <f>tblTime[[#This Row],[Hours Worked]]-tblTime[[#This Row],[Idle Time (hrs)]]</f>
        <v>5.26</v>
      </c>
      <c r="J95" t="str">
        <f>VLOOKUP(tblTime[[#This Row],[Agent Name]],tblAgents[[#All],[Agent Name]:[Experience Level]],2,FALSE)</f>
        <v>Junior</v>
      </c>
      <c r="K95" t="str">
        <f>VLOOKUP(tblTime[[#This Row],[Agent Name]],Agent_Info!A:C,3,FALSE)</f>
        <v>Team 2</v>
      </c>
      <c r="L95" t="str">
        <f>VLOOKUP(tblTime[[#This Row],[Agent Name]],Agent_Info!A:D,4,FALSE)</f>
        <v>edison</v>
      </c>
      <c r="M95" t="str">
        <f>VLOOKUP(tblTime[[#This Row],[Agent Name]],Agent_Info!$A:$E,5,FALSE)</f>
        <v>F</v>
      </c>
      <c r="N95">
        <f>SUMIFS(Support_Tickets!J:J, Support_Tickets!B:B, tblTime[[#This Row],[Date]],Support_Tickets!F:F,tblTime[[#This Row],[Agent Name]])</f>
        <v>10.44</v>
      </c>
    </row>
    <row r="96" spans="1:14" x14ac:dyDescent="0.35">
      <c r="A96" t="s">
        <v>41</v>
      </c>
      <c r="B96" s="3">
        <v>45704</v>
      </c>
      <c r="C96">
        <v>9.01</v>
      </c>
      <c r="D96">
        <v>18</v>
      </c>
      <c r="E96">
        <v>1.86</v>
      </c>
      <c r="F96">
        <v>1.01</v>
      </c>
      <c r="G96" s="4">
        <f>tblTime[[#This Row],[Tickets Handled]]/tblTime[[#This Row],[Hours Worked]]</f>
        <v>1.9977802441731409</v>
      </c>
      <c r="H96" s="7">
        <f>(tblTime[[#This Row],[Hours Worked]]-tblTime[[#This Row],[Idle Time (hrs)]])/tblTime[[#This Row],[Hours Worked]]</f>
        <v>0.79356270810210872</v>
      </c>
      <c r="I96" s="4">
        <f>tblTime[[#This Row],[Hours Worked]]-tblTime[[#This Row],[Idle Time (hrs)]]</f>
        <v>7.1499999999999995</v>
      </c>
      <c r="J96" t="str">
        <f>VLOOKUP(tblTime[[#This Row],[Agent Name]],tblAgents[[#All],[Agent Name]:[Experience Level]],2,FALSE)</f>
        <v>Junior</v>
      </c>
      <c r="K96" t="str">
        <f>VLOOKUP(tblTime[[#This Row],[Agent Name]],Agent_Info!A:C,3,FALSE)</f>
        <v>Team 1</v>
      </c>
      <c r="L96" t="str">
        <f>VLOOKUP(tblTime[[#This Row],[Agent Name]],Agent_Info!A:D,4,FALSE)</f>
        <v>richmond</v>
      </c>
      <c r="M96" t="str">
        <f>VLOOKUP(tblTime[[#This Row],[Agent Name]],Agent_Info!$A:$E,5,FALSE)</f>
        <v>F</v>
      </c>
      <c r="N96">
        <f>SUMIFS(Support_Tickets!J:J, Support_Tickets!B:B, tblTime[[#This Row],[Date]],Support_Tickets!F:F,tblTime[[#This Row],[Agent Name]])</f>
        <v>3.62</v>
      </c>
    </row>
    <row r="97" spans="1:14" x14ac:dyDescent="0.35">
      <c r="A97" t="s">
        <v>20</v>
      </c>
      <c r="B97" s="3">
        <v>45658</v>
      </c>
      <c r="C97">
        <v>6.25</v>
      </c>
      <c r="D97">
        <v>17</v>
      </c>
      <c r="E97">
        <v>1.25</v>
      </c>
      <c r="F97">
        <v>0</v>
      </c>
      <c r="G97" s="4">
        <f>tblTime[[#This Row],[Tickets Handled]]/tblTime[[#This Row],[Hours Worked]]</f>
        <v>2.72</v>
      </c>
      <c r="H97" s="7">
        <f>(tblTime[[#This Row],[Hours Worked]]-tblTime[[#This Row],[Idle Time (hrs)]])/tblTime[[#This Row],[Hours Worked]]</f>
        <v>0.8</v>
      </c>
      <c r="I97" s="4">
        <f>tblTime[[#This Row],[Hours Worked]]-tblTime[[#This Row],[Idle Time (hrs)]]</f>
        <v>5</v>
      </c>
      <c r="J97" t="str">
        <f>VLOOKUP(tblTime[[#This Row],[Agent Name]],tblAgents[[#All],[Agent Name]:[Experience Level]],2,FALSE)</f>
        <v>Junior</v>
      </c>
      <c r="K97" t="str">
        <f>VLOOKUP(tblTime[[#This Row],[Agent Name]],Agent_Info!A:C,3,FALSE)</f>
        <v>Team 2</v>
      </c>
      <c r="L97" t="str">
        <f>VLOOKUP(tblTime[[#This Row],[Agent Name]],Agent_Info!A:D,4,FALSE)</f>
        <v>edison</v>
      </c>
      <c r="M97" t="str">
        <f>VLOOKUP(tblTime[[#This Row],[Agent Name]],Agent_Info!$A:$E,5,FALSE)</f>
        <v>F</v>
      </c>
      <c r="N97">
        <f>SUMIFS(Support_Tickets!J:J, Support_Tickets!B:B, tblTime[[#This Row],[Date]],Support_Tickets!F:F,tblTime[[#This Row],[Agent Name]])</f>
        <v>5.89</v>
      </c>
    </row>
    <row r="98" spans="1:14" x14ac:dyDescent="0.35">
      <c r="A98" t="s">
        <v>41</v>
      </c>
      <c r="B98" s="3">
        <v>45670</v>
      </c>
      <c r="C98">
        <v>9.51</v>
      </c>
      <c r="D98">
        <v>10</v>
      </c>
      <c r="E98">
        <v>1.88</v>
      </c>
      <c r="F98">
        <v>1.51</v>
      </c>
      <c r="G98" s="4">
        <f>tblTime[[#This Row],[Tickets Handled]]/tblTime[[#This Row],[Hours Worked]]</f>
        <v>1.0515247108307046</v>
      </c>
      <c r="H98" s="7">
        <f>(tblTime[[#This Row],[Hours Worked]]-tblTime[[#This Row],[Idle Time (hrs)]])/tblTime[[#This Row],[Hours Worked]]</f>
        <v>0.80231335436382756</v>
      </c>
      <c r="I98" s="4">
        <f>tblTime[[#This Row],[Hours Worked]]-tblTime[[#This Row],[Idle Time (hrs)]]</f>
        <v>7.63</v>
      </c>
      <c r="J98" t="str">
        <f>VLOOKUP(tblTime[[#This Row],[Agent Name]],tblAgents[[#All],[Agent Name]:[Experience Level]],2,FALSE)</f>
        <v>Junior</v>
      </c>
      <c r="K98" t="str">
        <f>VLOOKUP(tblTime[[#This Row],[Agent Name]],Agent_Info!A:C,3,FALSE)</f>
        <v>Team 1</v>
      </c>
      <c r="L98" t="str">
        <f>VLOOKUP(tblTime[[#This Row],[Agent Name]],Agent_Info!A:D,4,FALSE)</f>
        <v>richmond</v>
      </c>
      <c r="M98" t="str">
        <f>VLOOKUP(tblTime[[#This Row],[Agent Name]],Agent_Info!$A:$E,5,FALSE)</f>
        <v>F</v>
      </c>
      <c r="N98">
        <f>SUMIFS(Support_Tickets!J:J, Support_Tickets!B:B, tblTime[[#This Row],[Date]],Support_Tickets!F:F,tblTime[[#This Row],[Agent Name]])</f>
        <v>3.23</v>
      </c>
    </row>
    <row r="99" spans="1:14" x14ac:dyDescent="0.35">
      <c r="A99" t="s">
        <v>14</v>
      </c>
      <c r="B99" s="3">
        <v>45660</v>
      </c>
      <c r="C99">
        <v>9.4499999999999993</v>
      </c>
      <c r="D99">
        <v>6</v>
      </c>
      <c r="E99">
        <v>1.84</v>
      </c>
      <c r="F99">
        <v>1.45</v>
      </c>
      <c r="G99" s="4">
        <f>tblTime[[#This Row],[Tickets Handled]]/tblTime[[#This Row],[Hours Worked]]</f>
        <v>0.634920634920635</v>
      </c>
      <c r="H99" s="7">
        <f>(tblTime[[#This Row],[Hours Worked]]-tblTime[[#This Row],[Idle Time (hrs)]])/tblTime[[#This Row],[Hours Worked]]</f>
        <v>0.80529100529100528</v>
      </c>
      <c r="I99" s="4">
        <f>tblTime[[#This Row],[Hours Worked]]-tblTime[[#This Row],[Idle Time (hrs)]]</f>
        <v>7.6099999999999994</v>
      </c>
      <c r="J99" t="str">
        <f>VLOOKUP(tblTime[[#This Row],[Agent Name]],tblAgents[[#All],[Agent Name]:[Experience Level]],2,FALSE)</f>
        <v>Senior</v>
      </c>
      <c r="K99" t="str">
        <f>VLOOKUP(tblTime[[#This Row],[Agent Name]],Agent_Info!A:C,3,FALSE)</f>
        <v>Team 2</v>
      </c>
      <c r="L99" t="str">
        <f>VLOOKUP(tblTime[[#This Row],[Agent Name]],Agent_Info!A:D,4,FALSE)</f>
        <v>hillsborough</v>
      </c>
      <c r="M99" t="str">
        <f>VLOOKUP(tblTime[[#This Row],[Agent Name]],Agent_Info!$A:$E,5,FALSE)</f>
        <v>M</v>
      </c>
      <c r="N99">
        <f>SUMIFS(Support_Tickets!J:J, Support_Tickets!B:B, tblTime[[#This Row],[Date]],Support_Tickets!F:F,tblTime[[#This Row],[Agent Name]])</f>
        <v>2.56</v>
      </c>
    </row>
    <row r="100" spans="1:14" x14ac:dyDescent="0.35">
      <c r="A100" t="s">
        <v>14</v>
      </c>
      <c r="B100" s="3">
        <v>45730</v>
      </c>
      <c r="C100">
        <v>9.16</v>
      </c>
      <c r="D100">
        <v>7</v>
      </c>
      <c r="E100">
        <v>1.76</v>
      </c>
      <c r="F100">
        <v>1.1599999999999999</v>
      </c>
      <c r="G100" s="4">
        <f>tblTime[[#This Row],[Tickets Handled]]/tblTime[[#This Row],[Hours Worked]]</f>
        <v>0.76419213973799127</v>
      </c>
      <c r="H100" s="7">
        <f>(tblTime[[#This Row],[Hours Worked]]-tblTime[[#This Row],[Idle Time (hrs)]])/tblTime[[#This Row],[Hours Worked]]</f>
        <v>0.80786026200873362</v>
      </c>
      <c r="I100" s="4">
        <f>tblTime[[#This Row],[Hours Worked]]-tblTime[[#This Row],[Idle Time (hrs)]]</f>
        <v>7.4</v>
      </c>
      <c r="J100" t="str">
        <f>VLOOKUP(tblTime[[#This Row],[Agent Name]],tblAgents[[#All],[Agent Name]:[Experience Level]],2,FALSE)</f>
        <v>Senior</v>
      </c>
      <c r="K100" t="str">
        <f>VLOOKUP(tblTime[[#This Row],[Agent Name]],Agent_Info!A:C,3,FALSE)</f>
        <v>Team 2</v>
      </c>
      <c r="L100" t="str">
        <f>VLOOKUP(tblTime[[#This Row],[Agent Name]],Agent_Info!A:D,4,FALSE)</f>
        <v>hillsborough</v>
      </c>
      <c r="M100" t="str">
        <f>VLOOKUP(tblTime[[#This Row],[Agent Name]],Agent_Info!$A:$E,5,FALSE)</f>
        <v>M</v>
      </c>
      <c r="N100">
        <f>SUMIFS(Support_Tickets!J:J, Support_Tickets!B:B, tblTime[[#This Row],[Date]],Support_Tickets!F:F,tblTime[[#This Row],[Agent Name]])</f>
        <v>5.46</v>
      </c>
    </row>
    <row r="101" spans="1:14" x14ac:dyDescent="0.35">
      <c r="A101" t="s">
        <v>14</v>
      </c>
      <c r="B101" s="3">
        <v>45743</v>
      </c>
      <c r="C101">
        <v>7.73</v>
      </c>
      <c r="D101">
        <v>11</v>
      </c>
      <c r="E101">
        <v>1.48</v>
      </c>
      <c r="F101">
        <v>0</v>
      </c>
      <c r="G101" s="4">
        <f>tblTime[[#This Row],[Tickets Handled]]/tblTime[[#This Row],[Hours Worked]]</f>
        <v>1.4230271668822767</v>
      </c>
      <c r="H101" s="7">
        <f>(tblTime[[#This Row],[Hours Worked]]-tblTime[[#This Row],[Idle Time (hrs)]])/tblTime[[#This Row],[Hours Worked]]</f>
        <v>0.80853816300129366</v>
      </c>
      <c r="I101" s="4">
        <f>tblTime[[#This Row],[Hours Worked]]-tblTime[[#This Row],[Idle Time (hrs)]]</f>
        <v>6.25</v>
      </c>
      <c r="J101" t="str">
        <f>VLOOKUP(tblTime[[#This Row],[Agent Name]],tblAgents[[#All],[Agent Name]:[Experience Level]],2,FALSE)</f>
        <v>Senior</v>
      </c>
      <c r="K101" t="str">
        <f>VLOOKUP(tblTime[[#This Row],[Agent Name]],Agent_Info!A:C,3,FALSE)</f>
        <v>Team 2</v>
      </c>
      <c r="L101" t="str">
        <f>VLOOKUP(tblTime[[#This Row],[Agent Name]],Agent_Info!A:D,4,FALSE)</f>
        <v>hillsborough</v>
      </c>
      <c r="M101" t="str">
        <f>VLOOKUP(tblTime[[#This Row],[Agent Name]],Agent_Info!$A:$E,5,FALSE)</f>
        <v>M</v>
      </c>
      <c r="N101">
        <f>SUMIFS(Support_Tickets!J:J, Support_Tickets!B:B, tblTime[[#This Row],[Date]],Support_Tickets!F:F,tblTime[[#This Row],[Agent Name]])</f>
        <v>9.23</v>
      </c>
    </row>
    <row r="102" spans="1:14" x14ac:dyDescent="0.35">
      <c r="A102" t="s">
        <v>45</v>
      </c>
      <c r="B102" s="3">
        <v>45700</v>
      </c>
      <c r="C102">
        <v>8.33</v>
      </c>
      <c r="D102">
        <v>19</v>
      </c>
      <c r="E102">
        <v>1.59</v>
      </c>
      <c r="F102">
        <v>0.33</v>
      </c>
      <c r="G102" s="4">
        <f>tblTime[[#This Row],[Tickets Handled]]/tblTime[[#This Row],[Hours Worked]]</f>
        <v>2.2809123649459782</v>
      </c>
      <c r="H102" s="7">
        <f>(tblTime[[#This Row],[Hours Worked]]-tblTime[[#This Row],[Idle Time (hrs)]])/tblTime[[#This Row],[Hours Worked]]</f>
        <v>0.80912364945978388</v>
      </c>
      <c r="I102" s="4">
        <f>tblTime[[#This Row],[Hours Worked]]-tblTime[[#This Row],[Idle Time (hrs)]]</f>
        <v>6.74</v>
      </c>
      <c r="J102" t="str">
        <f>VLOOKUP(tblTime[[#This Row],[Agent Name]],tblAgents[[#All],[Agent Name]:[Experience Level]],2,FALSE)</f>
        <v>Junior</v>
      </c>
      <c r="K102" t="str">
        <f>VLOOKUP(tblTime[[#This Row],[Agent Name]],Agent_Info!A:C,3,FALSE)</f>
        <v>Team 1</v>
      </c>
      <c r="L102" t="str">
        <f>VLOOKUP(tblTime[[#This Row],[Agent Name]],Agent_Info!A:D,4,FALSE)</f>
        <v>new york</v>
      </c>
      <c r="M102" t="str">
        <f>VLOOKUP(tblTime[[#This Row],[Agent Name]],Agent_Info!$A:$E,5,FALSE)</f>
        <v>F</v>
      </c>
      <c r="N102">
        <f>SUMIFS(Support_Tickets!J:J, Support_Tickets!B:B, tblTime[[#This Row],[Date]],Support_Tickets!F:F,tblTime[[#This Row],[Agent Name]])</f>
        <v>6.18</v>
      </c>
    </row>
    <row r="103" spans="1:14" x14ac:dyDescent="0.35">
      <c r="A103" t="s">
        <v>14</v>
      </c>
      <c r="B103" s="3">
        <v>45721</v>
      </c>
      <c r="C103">
        <v>9.8699999999999992</v>
      </c>
      <c r="D103">
        <v>13</v>
      </c>
      <c r="E103">
        <v>1.88</v>
      </c>
      <c r="F103">
        <v>1.87</v>
      </c>
      <c r="G103" s="4">
        <f>tblTime[[#This Row],[Tickets Handled]]/tblTime[[#This Row],[Hours Worked]]</f>
        <v>1.3171225937183384</v>
      </c>
      <c r="H103" s="7">
        <f>(tblTime[[#This Row],[Hours Worked]]-tblTime[[#This Row],[Idle Time (hrs)]])/tblTime[[#This Row],[Hours Worked]]</f>
        <v>0.80952380952380953</v>
      </c>
      <c r="I103" s="4">
        <f>tblTime[[#This Row],[Hours Worked]]-tblTime[[#This Row],[Idle Time (hrs)]]</f>
        <v>7.9899999999999993</v>
      </c>
      <c r="J103" t="str">
        <f>VLOOKUP(tblTime[[#This Row],[Agent Name]],tblAgents[[#All],[Agent Name]:[Experience Level]],2,FALSE)</f>
        <v>Senior</v>
      </c>
      <c r="K103" t="str">
        <f>VLOOKUP(tblTime[[#This Row],[Agent Name]],Agent_Info!A:C,3,FALSE)</f>
        <v>Team 2</v>
      </c>
      <c r="L103" t="str">
        <f>VLOOKUP(tblTime[[#This Row],[Agent Name]],Agent_Info!A:D,4,FALSE)</f>
        <v>hillsborough</v>
      </c>
      <c r="M103" t="str">
        <f>VLOOKUP(tblTime[[#This Row],[Agent Name]],Agent_Info!$A:$E,5,FALSE)</f>
        <v>M</v>
      </c>
      <c r="N103">
        <f>SUMIFS(Support_Tickets!J:J, Support_Tickets!B:B, tblTime[[#This Row],[Date]],Support_Tickets!F:F,tblTime[[#This Row],[Agent Name]])</f>
        <v>7.66</v>
      </c>
    </row>
    <row r="104" spans="1:14" x14ac:dyDescent="0.35">
      <c r="A104" t="s">
        <v>25</v>
      </c>
      <c r="B104" s="3">
        <v>45708</v>
      </c>
      <c r="C104">
        <v>9.5</v>
      </c>
      <c r="D104">
        <v>19</v>
      </c>
      <c r="E104">
        <v>1.79</v>
      </c>
      <c r="F104">
        <v>1.5</v>
      </c>
      <c r="G104" s="4">
        <f>tblTime[[#This Row],[Tickets Handled]]/tblTime[[#This Row],[Hours Worked]]</f>
        <v>2</v>
      </c>
      <c r="H104" s="7">
        <f>(tblTime[[#This Row],[Hours Worked]]-tblTime[[#This Row],[Idle Time (hrs)]])/tblTime[[#This Row],[Hours Worked]]</f>
        <v>0.81157894736842107</v>
      </c>
      <c r="I104" s="4">
        <f>tblTime[[#This Row],[Hours Worked]]-tblTime[[#This Row],[Idle Time (hrs)]]</f>
        <v>7.71</v>
      </c>
      <c r="J104" t="str">
        <f>VLOOKUP(tblTime[[#This Row],[Agent Name]],tblAgents[[#All],[Agent Name]:[Experience Level]],2,FALSE)</f>
        <v>Mid</v>
      </c>
      <c r="K104" t="str">
        <f>VLOOKUP(tblTime[[#This Row],[Agent Name]],Agent_Info!A:C,3,FALSE)</f>
        <v>Team 2</v>
      </c>
      <c r="L104" t="str">
        <f>VLOOKUP(tblTime[[#This Row],[Agent Name]],Agent_Info!A:D,4,FALSE)</f>
        <v>dallas</v>
      </c>
      <c r="M104" t="str">
        <f>VLOOKUP(tblTime[[#This Row],[Agent Name]],Agent_Info!$A:$E,5,FALSE)</f>
        <v>M</v>
      </c>
      <c r="N104">
        <f>SUMIFS(Support_Tickets!J:J, Support_Tickets!B:B, tblTime[[#This Row],[Date]],Support_Tickets!F:F,tblTime[[#This Row],[Agent Name]])</f>
        <v>5.22</v>
      </c>
    </row>
    <row r="105" spans="1:14" x14ac:dyDescent="0.35">
      <c r="A105" t="s">
        <v>25</v>
      </c>
      <c r="B105" s="3">
        <v>45706</v>
      </c>
      <c r="C105">
        <v>9.66</v>
      </c>
      <c r="D105">
        <v>15</v>
      </c>
      <c r="E105">
        <v>1.77</v>
      </c>
      <c r="F105">
        <v>1.66</v>
      </c>
      <c r="G105" s="4">
        <f>tblTime[[#This Row],[Tickets Handled]]/tblTime[[#This Row],[Hours Worked]]</f>
        <v>1.5527950310559007</v>
      </c>
      <c r="H105" s="7">
        <f>(tblTime[[#This Row],[Hours Worked]]-tblTime[[#This Row],[Idle Time (hrs)]])/tblTime[[#This Row],[Hours Worked]]</f>
        <v>0.81677018633540377</v>
      </c>
      <c r="I105" s="4">
        <f>tblTime[[#This Row],[Hours Worked]]-tblTime[[#This Row],[Idle Time (hrs)]]</f>
        <v>7.8900000000000006</v>
      </c>
      <c r="J105" t="str">
        <f>VLOOKUP(tblTime[[#This Row],[Agent Name]],tblAgents[[#All],[Agent Name]:[Experience Level]],2,FALSE)</f>
        <v>Mid</v>
      </c>
      <c r="K105" t="str">
        <f>VLOOKUP(tblTime[[#This Row],[Agent Name]],Agent_Info!A:C,3,FALSE)</f>
        <v>Team 2</v>
      </c>
      <c r="L105" t="str">
        <f>VLOOKUP(tblTime[[#This Row],[Agent Name]],Agent_Info!A:D,4,FALSE)</f>
        <v>dallas</v>
      </c>
      <c r="M105" t="str">
        <f>VLOOKUP(tblTime[[#This Row],[Agent Name]],Agent_Info!$A:$E,5,FALSE)</f>
        <v>M</v>
      </c>
      <c r="N105">
        <f>SUMIFS(Support_Tickets!J:J, Support_Tickets!B:B, tblTime[[#This Row],[Date]],Support_Tickets!F:F,tblTime[[#This Row],[Agent Name]])</f>
        <v>13.739999999999998</v>
      </c>
    </row>
    <row r="106" spans="1:14" x14ac:dyDescent="0.35">
      <c r="A106" t="s">
        <v>41</v>
      </c>
      <c r="B106" s="3">
        <v>45725</v>
      </c>
      <c r="C106">
        <v>6.66</v>
      </c>
      <c r="D106">
        <v>21</v>
      </c>
      <c r="E106">
        <v>1.22</v>
      </c>
      <c r="F106">
        <v>0</v>
      </c>
      <c r="G106" s="4">
        <f>tblTime[[#This Row],[Tickets Handled]]/tblTime[[#This Row],[Hours Worked]]</f>
        <v>3.1531531531531529</v>
      </c>
      <c r="H106" s="7">
        <f>(tblTime[[#This Row],[Hours Worked]]-tblTime[[#This Row],[Idle Time (hrs)]])/tblTime[[#This Row],[Hours Worked]]</f>
        <v>0.81681681681681684</v>
      </c>
      <c r="I106" s="4">
        <f>tblTime[[#This Row],[Hours Worked]]-tblTime[[#This Row],[Idle Time (hrs)]]</f>
        <v>5.44</v>
      </c>
      <c r="J106" t="str">
        <f>VLOOKUP(tblTime[[#This Row],[Agent Name]],tblAgents[[#All],[Agent Name]:[Experience Level]],2,FALSE)</f>
        <v>Junior</v>
      </c>
      <c r="K106" t="str">
        <f>VLOOKUP(tblTime[[#This Row],[Agent Name]],Agent_Info!A:C,3,FALSE)</f>
        <v>Team 1</v>
      </c>
      <c r="L106" t="str">
        <f>VLOOKUP(tblTime[[#This Row],[Agent Name]],Agent_Info!A:D,4,FALSE)</f>
        <v>richmond</v>
      </c>
      <c r="M106" t="str">
        <f>VLOOKUP(tblTime[[#This Row],[Agent Name]],Agent_Info!$A:$E,5,FALSE)</f>
        <v>F</v>
      </c>
      <c r="N106">
        <f>SUMIFS(Support_Tickets!J:J, Support_Tickets!B:B, tblTime[[#This Row],[Date]],Support_Tickets!F:F,tblTime[[#This Row],[Agent Name]])</f>
        <v>1.1499999999999999</v>
      </c>
    </row>
    <row r="107" spans="1:14" x14ac:dyDescent="0.35">
      <c r="A107" t="s">
        <v>45</v>
      </c>
      <c r="B107" s="3">
        <v>45727</v>
      </c>
      <c r="C107">
        <v>9.58</v>
      </c>
      <c r="D107">
        <v>16</v>
      </c>
      <c r="E107">
        <v>1.74</v>
      </c>
      <c r="F107">
        <v>1.58</v>
      </c>
      <c r="G107" s="4">
        <f>tblTime[[#This Row],[Tickets Handled]]/tblTime[[#This Row],[Hours Worked]]</f>
        <v>1.6701461377870563</v>
      </c>
      <c r="H107" s="7">
        <f>(tblTime[[#This Row],[Hours Worked]]-tblTime[[#This Row],[Idle Time (hrs)]])/tblTime[[#This Row],[Hours Worked]]</f>
        <v>0.81837160751565763</v>
      </c>
      <c r="I107" s="4">
        <f>tblTime[[#This Row],[Hours Worked]]-tblTime[[#This Row],[Idle Time (hrs)]]</f>
        <v>7.84</v>
      </c>
      <c r="J107" t="str">
        <f>VLOOKUP(tblTime[[#This Row],[Agent Name]],tblAgents[[#All],[Agent Name]:[Experience Level]],2,FALSE)</f>
        <v>Junior</v>
      </c>
      <c r="K107" t="str">
        <f>VLOOKUP(tblTime[[#This Row],[Agent Name]],Agent_Info!A:C,3,FALSE)</f>
        <v>Team 1</v>
      </c>
      <c r="L107" t="str">
        <f>VLOOKUP(tblTime[[#This Row],[Agent Name]],Agent_Info!A:D,4,FALSE)</f>
        <v>new york</v>
      </c>
      <c r="M107" t="str">
        <f>VLOOKUP(tblTime[[#This Row],[Agent Name]],Agent_Info!$A:$E,5,FALSE)</f>
        <v>F</v>
      </c>
      <c r="N107">
        <f>SUMIFS(Support_Tickets!J:J, Support_Tickets!B:B, tblTime[[#This Row],[Date]],Support_Tickets!F:F,tblTime[[#This Row],[Agent Name]])</f>
        <v>0</v>
      </c>
    </row>
    <row r="108" spans="1:14" x14ac:dyDescent="0.35">
      <c r="A108" t="s">
        <v>41</v>
      </c>
      <c r="B108" s="3">
        <v>45685</v>
      </c>
      <c r="C108">
        <v>9.98</v>
      </c>
      <c r="D108">
        <v>6</v>
      </c>
      <c r="E108">
        <v>1.8</v>
      </c>
      <c r="F108">
        <v>1.98</v>
      </c>
      <c r="G108" s="4">
        <f>tblTime[[#This Row],[Tickets Handled]]/tblTime[[#This Row],[Hours Worked]]</f>
        <v>0.60120240480961917</v>
      </c>
      <c r="H108" s="7">
        <f>(tblTime[[#This Row],[Hours Worked]]-tblTime[[#This Row],[Idle Time (hrs)]])/tblTime[[#This Row],[Hours Worked]]</f>
        <v>0.81963927855711416</v>
      </c>
      <c r="I108" s="4">
        <f>tblTime[[#This Row],[Hours Worked]]-tblTime[[#This Row],[Idle Time (hrs)]]</f>
        <v>8.18</v>
      </c>
      <c r="J108" t="str">
        <f>VLOOKUP(tblTime[[#This Row],[Agent Name]],tblAgents[[#All],[Agent Name]:[Experience Level]],2,FALSE)</f>
        <v>Junior</v>
      </c>
      <c r="K108" t="str">
        <f>VLOOKUP(tblTime[[#This Row],[Agent Name]],Agent_Info!A:C,3,FALSE)</f>
        <v>Team 1</v>
      </c>
      <c r="L108" t="str">
        <f>VLOOKUP(tblTime[[#This Row],[Agent Name]],Agent_Info!A:D,4,FALSE)</f>
        <v>richmond</v>
      </c>
      <c r="M108" t="str">
        <f>VLOOKUP(tblTime[[#This Row],[Agent Name]],Agent_Info!$A:$E,5,FALSE)</f>
        <v>F</v>
      </c>
      <c r="N108">
        <f>SUMIFS(Support_Tickets!J:J, Support_Tickets!B:B, tblTime[[#This Row],[Date]],Support_Tickets!F:F,tblTime[[#This Row],[Agent Name]])</f>
        <v>6.52</v>
      </c>
    </row>
    <row r="109" spans="1:14" x14ac:dyDescent="0.35">
      <c r="A109" t="s">
        <v>20</v>
      </c>
      <c r="B109" s="3">
        <v>45722</v>
      </c>
      <c r="C109">
        <v>6.46</v>
      </c>
      <c r="D109">
        <v>5</v>
      </c>
      <c r="E109">
        <v>1.1499999999999999</v>
      </c>
      <c r="F109">
        <v>0</v>
      </c>
      <c r="G109" s="4">
        <f>tblTime[[#This Row],[Tickets Handled]]/tblTime[[#This Row],[Hours Worked]]</f>
        <v>0.77399380804953566</v>
      </c>
      <c r="H109" s="7">
        <f>(tblTime[[#This Row],[Hours Worked]]-tblTime[[#This Row],[Idle Time (hrs)]])/tblTime[[#This Row],[Hours Worked]]</f>
        <v>0.82198142414860687</v>
      </c>
      <c r="I109" s="4">
        <f>tblTime[[#This Row],[Hours Worked]]-tblTime[[#This Row],[Idle Time (hrs)]]</f>
        <v>5.3100000000000005</v>
      </c>
      <c r="J109" t="str">
        <f>VLOOKUP(tblTime[[#This Row],[Agent Name]],tblAgents[[#All],[Agent Name]:[Experience Level]],2,FALSE)</f>
        <v>Junior</v>
      </c>
      <c r="K109" t="str">
        <f>VLOOKUP(tblTime[[#This Row],[Agent Name]],Agent_Info!A:C,3,FALSE)</f>
        <v>Team 2</v>
      </c>
      <c r="L109" t="str">
        <f>VLOOKUP(tblTime[[#This Row],[Agent Name]],Agent_Info!A:D,4,FALSE)</f>
        <v>edison</v>
      </c>
      <c r="M109" t="str">
        <f>VLOOKUP(tblTime[[#This Row],[Agent Name]],Agent_Info!$A:$E,5,FALSE)</f>
        <v>F</v>
      </c>
      <c r="N109">
        <f>SUMIFS(Support_Tickets!J:J, Support_Tickets!B:B, tblTime[[#This Row],[Date]],Support_Tickets!F:F,tblTime[[#This Row],[Agent Name]])</f>
        <v>10.44</v>
      </c>
    </row>
    <row r="110" spans="1:14" x14ac:dyDescent="0.35">
      <c r="A110" t="s">
        <v>20</v>
      </c>
      <c r="B110" s="3">
        <v>45700</v>
      </c>
      <c r="C110">
        <v>8.26</v>
      </c>
      <c r="D110">
        <v>14</v>
      </c>
      <c r="E110">
        <v>1.46</v>
      </c>
      <c r="F110">
        <v>0.26</v>
      </c>
      <c r="G110" s="4">
        <f>tblTime[[#This Row],[Tickets Handled]]/tblTime[[#This Row],[Hours Worked]]</f>
        <v>1.6949152542372883</v>
      </c>
      <c r="H110" s="7">
        <f>(tblTime[[#This Row],[Hours Worked]]-tblTime[[#This Row],[Idle Time (hrs)]])/tblTime[[#This Row],[Hours Worked]]</f>
        <v>0.82324455205811142</v>
      </c>
      <c r="I110" s="4">
        <f>tblTime[[#This Row],[Hours Worked]]-tblTime[[#This Row],[Idle Time (hrs)]]</f>
        <v>6.8</v>
      </c>
      <c r="J110" t="str">
        <f>VLOOKUP(tblTime[[#This Row],[Agent Name]],tblAgents[[#All],[Agent Name]:[Experience Level]],2,FALSE)</f>
        <v>Junior</v>
      </c>
      <c r="K110" t="str">
        <f>VLOOKUP(tblTime[[#This Row],[Agent Name]],Agent_Info!A:C,3,FALSE)</f>
        <v>Team 2</v>
      </c>
      <c r="L110" t="str">
        <f>VLOOKUP(tblTime[[#This Row],[Agent Name]],Agent_Info!A:D,4,FALSE)</f>
        <v>edison</v>
      </c>
      <c r="M110" t="str">
        <f>VLOOKUP(tblTime[[#This Row],[Agent Name]],Agent_Info!$A:$E,5,FALSE)</f>
        <v>F</v>
      </c>
      <c r="N110">
        <f>SUMIFS(Support_Tickets!J:J, Support_Tickets!B:B, tblTime[[#This Row],[Date]],Support_Tickets!F:F,tblTime[[#This Row],[Agent Name]])</f>
        <v>0.53</v>
      </c>
    </row>
    <row r="111" spans="1:14" x14ac:dyDescent="0.35">
      <c r="A111" t="s">
        <v>41</v>
      </c>
      <c r="B111" s="3">
        <v>45719</v>
      </c>
      <c r="C111">
        <v>7.42</v>
      </c>
      <c r="D111">
        <v>18</v>
      </c>
      <c r="E111">
        <v>1.31</v>
      </c>
      <c r="F111">
        <v>0</v>
      </c>
      <c r="G111" s="4">
        <f>tblTime[[#This Row],[Tickets Handled]]/tblTime[[#This Row],[Hours Worked]]</f>
        <v>2.4258760107816713</v>
      </c>
      <c r="H111" s="7">
        <f>(tblTime[[#This Row],[Hours Worked]]-tblTime[[#This Row],[Idle Time (hrs)]])/tblTime[[#This Row],[Hours Worked]]</f>
        <v>0.82345013477088946</v>
      </c>
      <c r="I111" s="4">
        <f>tblTime[[#This Row],[Hours Worked]]-tblTime[[#This Row],[Idle Time (hrs)]]</f>
        <v>6.1099999999999994</v>
      </c>
      <c r="J111" t="str">
        <f>VLOOKUP(tblTime[[#This Row],[Agent Name]],tblAgents[[#All],[Agent Name]:[Experience Level]],2,FALSE)</f>
        <v>Junior</v>
      </c>
      <c r="K111" t="str">
        <f>VLOOKUP(tblTime[[#This Row],[Agent Name]],Agent_Info!A:C,3,FALSE)</f>
        <v>Team 1</v>
      </c>
      <c r="L111" t="str">
        <f>VLOOKUP(tblTime[[#This Row],[Agent Name]],Agent_Info!A:D,4,FALSE)</f>
        <v>richmond</v>
      </c>
      <c r="M111" t="str">
        <f>VLOOKUP(tblTime[[#This Row],[Agent Name]],Agent_Info!$A:$E,5,FALSE)</f>
        <v>F</v>
      </c>
      <c r="N111">
        <f>SUMIFS(Support_Tickets!J:J, Support_Tickets!B:B, tblTime[[#This Row],[Date]],Support_Tickets!F:F,tblTime[[#This Row],[Agent Name]])</f>
        <v>0</v>
      </c>
    </row>
    <row r="112" spans="1:14" x14ac:dyDescent="0.35">
      <c r="A112" t="s">
        <v>25</v>
      </c>
      <c r="B112" s="3">
        <v>45663</v>
      </c>
      <c r="C112">
        <v>8.4</v>
      </c>
      <c r="D112">
        <v>17</v>
      </c>
      <c r="E112">
        <v>1.48</v>
      </c>
      <c r="F112">
        <v>0.4</v>
      </c>
      <c r="G112" s="4">
        <f>tblTime[[#This Row],[Tickets Handled]]/tblTime[[#This Row],[Hours Worked]]</f>
        <v>2.0238095238095237</v>
      </c>
      <c r="H112" s="7">
        <f>(tblTime[[#This Row],[Hours Worked]]-tblTime[[#This Row],[Idle Time (hrs)]])/tblTime[[#This Row],[Hours Worked]]</f>
        <v>0.82380952380952377</v>
      </c>
      <c r="I112" s="4">
        <f>tblTime[[#This Row],[Hours Worked]]-tblTime[[#This Row],[Idle Time (hrs)]]</f>
        <v>6.92</v>
      </c>
      <c r="J112" t="str">
        <f>VLOOKUP(tblTime[[#This Row],[Agent Name]],tblAgents[[#All],[Agent Name]:[Experience Level]],2,FALSE)</f>
        <v>Mid</v>
      </c>
      <c r="K112" t="str">
        <f>VLOOKUP(tblTime[[#This Row],[Agent Name]],Agent_Info!A:C,3,FALSE)</f>
        <v>Team 2</v>
      </c>
      <c r="L112" t="str">
        <f>VLOOKUP(tblTime[[#This Row],[Agent Name]],Agent_Info!A:D,4,FALSE)</f>
        <v>dallas</v>
      </c>
      <c r="M112" t="str">
        <f>VLOOKUP(tblTime[[#This Row],[Agent Name]],Agent_Info!$A:$E,5,FALSE)</f>
        <v>M</v>
      </c>
      <c r="N112">
        <f>SUMIFS(Support_Tickets!J:J, Support_Tickets!B:B, tblTime[[#This Row],[Date]],Support_Tickets!F:F,tblTime[[#This Row],[Agent Name]])</f>
        <v>6.26</v>
      </c>
    </row>
    <row r="113" spans="1:14" x14ac:dyDescent="0.35">
      <c r="A113" t="s">
        <v>45</v>
      </c>
      <c r="B113" s="3">
        <v>45662</v>
      </c>
      <c r="C113">
        <v>8.7899999999999991</v>
      </c>
      <c r="D113">
        <v>13</v>
      </c>
      <c r="E113">
        <v>1.49</v>
      </c>
      <c r="F113">
        <v>0.79</v>
      </c>
      <c r="G113" s="4">
        <f>tblTime[[#This Row],[Tickets Handled]]/tblTime[[#This Row],[Hours Worked]]</f>
        <v>1.4789533560864621</v>
      </c>
      <c r="H113" s="7">
        <f>(tblTime[[#This Row],[Hours Worked]]-tblTime[[#This Row],[Idle Time (hrs)]])/tblTime[[#This Row],[Hours Worked]]</f>
        <v>0.83048919226393625</v>
      </c>
      <c r="I113" s="4">
        <f>tblTime[[#This Row],[Hours Worked]]-tblTime[[#This Row],[Idle Time (hrs)]]</f>
        <v>7.2999999999999989</v>
      </c>
      <c r="J113" t="str">
        <f>VLOOKUP(tblTime[[#This Row],[Agent Name]],tblAgents[[#All],[Agent Name]:[Experience Level]],2,FALSE)</f>
        <v>Junior</v>
      </c>
      <c r="K113" t="str">
        <f>VLOOKUP(tblTime[[#This Row],[Agent Name]],Agent_Info!A:C,3,FALSE)</f>
        <v>Team 1</v>
      </c>
      <c r="L113" t="str">
        <f>VLOOKUP(tblTime[[#This Row],[Agent Name]],Agent_Info!A:D,4,FALSE)</f>
        <v>new york</v>
      </c>
      <c r="M113" t="str">
        <f>VLOOKUP(tblTime[[#This Row],[Agent Name]],Agent_Info!$A:$E,5,FALSE)</f>
        <v>F</v>
      </c>
      <c r="N113">
        <f>SUMIFS(Support_Tickets!J:J, Support_Tickets!B:B, tblTime[[#This Row],[Date]],Support_Tickets!F:F,tblTime[[#This Row],[Agent Name]])</f>
        <v>0</v>
      </c>
    </row>
    <row r="114" spans="1:14" x14ac:dyDescent="0.35">
      <c r="A114" t="s">
        <v>14</v>
      </c>
      <c r="B114" s="3">
        <v>45675</v>
      </c>
      <c r="C114">
        <v>9.67</v>
      </c>
      <c r="D114">
        <v>19</v>
      </c>
      <c r="E114">
        <v>1.63</v>
      </c>
      <c r="F114">
        <v>1.67</v>
      </c>
      <c r="G114" s="4">
        <f>tblTime[[#This Row],[Tickets Handled]]/tblTime[[#This Row],[Hours Worked]]</f>
        <v>1.9648397104446742</v>
      </c>
      <c r="H114" s="7">
        <f>(tblTime[[#This Row],[Hours Worked]]-tblTime[[#This Row],[Idle Time (hrs)]])/tblTime[[#This Row],[Hours Worked]]</f>
        <v>0.83143743536711467</v>
      </c>
      <c r="I114" s="4">
        <f>tblTime[[#This Row],[Hours Worked]]-tblTime[[#This Row],[Idle Time (hrs)]]</f>
        <v>8.0399999999999991</v>
      </c>
      <c r="J114" t="str">
        <f>VLOOKUP(tblTime[[#This Row],[Agent Name]],tblAgents[[#All],[Agent Name]:[Experience Level]],2,FALSE)</f>
        <v>Senior</v>
      </c>
      <c r="K114" t="str">
        <f>VLOOKUP(tblTime[[#This Row],[Agent Name]],Agent_Info!A:C,3,FALSE)</f>
        <v>Team 2</v>
      </c>
      <c r="L114" t="str">
        <f>VLOOKUP(tblTime[[#This Row],[Agent Name]],Agent_Info!A:D,4,FALSE)</f>
        <v>hillsborough</v>
      </c>
      <c r="M114" t="str">
        <f>VLOOKUP(tblTime[[#This Row],[Agent Name]],Agent_Info!$A:$E,5,FALSE)</f>
        <v>M</v>
      </c>
      <c r="N114">
        <f>SUMIFS(Support_Tickets!J:J, Support_Tickets!B:B, tblTime[[#This Row],[Date]],Support_Tickets!F:F,tblTime[[#This Row],[Agent Name]])</f>
        <v>4.1100000000000003</v>
      </c>
    </row>
    <row r="115" spans="1:14" x14ac:dyDescent="0.35">
      <c r="A115" t="s">
        <v>20</v>
      </c>
      <c r="B115" s="3">
        <v>45727</v>
      </c>
      <c r="C115">
        <v>7.69</v>
      </c>
      <c r="D115">
        <v>14</v>
      </c>
      <c r="E115">
        <v>1.28</v>
      </c>
      <c r="F115">
        <v>0</v>
      </c>
      <c r="G115" s="4">
        <f>tblTime[[#This Row],[Tickets Handled]]/tblTime[[#This Row],[Hours Worked]]</f>
        <v>1.8205461638491547</v>
      </c>
      <c r="H115" s="7">
        <f>(tblTime[[#This Row],[Hours Worked]]-tblTime[[#This Row],[Idle Time (hrs)]])/tblTime[[#This Row],[Hours Worked]]</f>
        <v>0.83355006501950579</v>
      </c>
      <c r="I115" s="4">
        <f>tblTime[[#This Row],[Hours Worked]]-tblTime[[#This Row],[Idle Time (hrs)]]</f>
        <v>6.41</v>
      </c>
      <c r="J115" t="str">
        <f>VLOOKUP(tblTime[[#This Row],[Agent Name]],tblAgents[[#All],[Agent Name]:[Experience Level]],2,FALSE)</f>
        <v>Junior</v>
      </c>
      <c r="K115" t="str">
        <f>VLOOKUP(tblTime[[#This Row],[Agent Name]],Agent_Info!A:C,3,FALSE)</f>
        <v>Team 2</v>
      </c>
      <c r="L115" t="str">
        <f>VLOOKUP(tblTime[[#This Row],[Agent Name]],Agent_Info!A:D,4,FALSE)</f>
        <v>edison</v>
      </c>
      <c r="M115" t="str">
        <f>VLOOKUP(tblTime[[#This Row],[Agent Name]],Agent_Info!$A:$E,5,FALSE)</f>
        <v>F</v>
      </c>
      <c r="N115">
        <f>SUMIFS(Support_Tickets!J:J, Support_Tickets!B:B, tblTime[[#This Row],[Date]],Support_Tickets!F:F,tblTime[[#This Row],[Agent Name]])</f>
        <v>0</v>
      </c>
    </row>
    <row r="116" spans="1:14" x14ac:dyDescent="0.35">
      <c r="A116" t="s">
        <v>14</v>
      </c>
      <c r="B116" s="3">
        <v>45691</v>
      </c>
      <c r="C116">
        <v>7.83</v>
      </c>
      <c r="D116">
        <v>17</v>
      </c>
      <c r="E116">
        <v>1.28</v>
      </c>
      <c r="F116">
        <v>0</v>
      </c>
      <c r="G116" s="4">
        <f>tblTime[[#This Row],[Tickets Handled]]/tblTime[[#This Row],[Hours Worked]]</f>
        <v>2.1711366538952745</v>
      </c>
      <c r="H116" s="7">
        <f>(tblTime[[#This Row],[Hours Worked]]-tblTime[[#This Row],[Idle Time (hrs)]])/tblTime[[#This Row],[Hours Worked]]</f>
        <v>0.83652618135376755</v>
      </c>
      <c r="I116" s="4">
        <f>tblTime[[#This Row],[Hours Worked]]-tblTime[[#This Row],[Idle Time (hrs)]]</f>
        <v>6.55</v>
      </c>
      <c r="J116" t="str">
        <f>VLOOKUP(tblTime[[#This Row],[Agent Name]],tblAgents[[#All],[Agent Name]:[Experience Level]],2,FALSE)</f>
        <v>Senior</v>
      </c>
      <c r="K116" t="str">
        <f>VLOOKUP(tblTime[[#This Row],[Agent Name]],Agent_Info!A:C,3,FALSE)</f>
        <v>Team 2</v>
      </c>
      <c r="L116" t="str">
        <f>VLOOKUP(tblTime[[#This Row],[Agent Name]],Agent_Info!A:D,4,FALSE)</f>
        <v>hillsborough</v>
      </c>
      <c r="M116" t="str">
        <f>VLOOKUP(tblTime[[#This Row],[Agent Name]],Agent_Info!$A:$E,5,FALSE)</f>
        <v>M</v>
      </c>
      <c r="N116">
        <f>SUMIFS(Support_Tickets!J:J, Support_Tickets!B:B, tblTime[[#This Row],[Date]],Support_Tickets!F:F,tblTime[[#This Row],[Agent Name]])</f>
        <v>0</v>
      </c>
    </row>
    <row r="117" spans="1:14" x14ac:dyDescent="0.35">
      <c r="A117" t="s">
        <v>45</v>
      </c>
      <c r="B117" s="3">
        <v>45698</v>
      </c>
      <c r="C117">
        <v>6.28</v>
      </c>
      <c r="D117">
        <v>13</v>
      </c>
      <c r="E117">
        <v>1.01</v>
      </c>
      <c r="F117">
        <v>0</v>
      </c>
      <c r="G117" s="4">
        <f>tblTime[[#This Row],[Tickets Handled]]/tblTime[[#This Row],[Hours Worked]]</f>
        <v>2.0700636942675157</v>
      </c>
      <c r="H117" s="7">
        <f>(tblTime[[#This Row],[Hours Worked]]-tblTime[[#This Row],[Idle Time (hrs)]])/tblTime[[#This Row],[Hours Worked]]</f>
        <v>0.83917197452229308</v>
      </c>
      <c r="I117" s="4">
        <f>tblTime[[#This Row],[Hours Worked]]-tblTime[[#This Row],[Idle Time (hrs)]]</f>
        <v>5.2700000000000005</v>
      </c>
      <c r="J117" t="str">
        <f>VLOOKUP(tblTime[[#This Row],[Agent Name]],tblAgents[[#All],[Agent Name]:[Experience Level]],2,FALSE)</f>
        <v>Junior</v>
      </c>
      <c r="K117" t="str">
        <f>VLOOKUP(tblTime[[#This Row],[Agent Name]],Agent_Info!A:C,3,FALSE)</f>
        <v>Team 1</v>
      </c>
      <c r="L117" t="str">
        <f>VLOOKUP(tblTime[[#This Row],[Agent Name]],Agent_Info!A:D,4,FALSE)</f>
        <v>new york</v>
      </c>
      <c r="M117" t="str">
        <f>VLOOKUP(tblTime[[#This Row],[Agent Name]],Agent_Info!$A:$E,5,FALSE)</f>
        <v>F</v>
      </c>
      <c r="N117">
        <f>SUMIFS(Support_Tickets!J:J, Support_Tickets!B:B, tblTime[[#This Row],[Date]],Support_Tickets!F:F,tblTime[[#This Row],[Agent Name]])</f>
        <v>3.81</v>
      </c>
    </row>
    <row r="118" spans="1:14" x14ac:dyDescent="0.35">
      <c r="A118" t="s">
        <v>25</v>
      </c>
      <c r="B118" s="3">
        <v>45700</v>
      </c>
      <c r="C118">
        <v>9.9700000000000006</v>
      </c>
      <c r="D118">
        <v>8</v>
      </c>
      <c r="E118">
        <v>1.59</v>
      </c>
      <c r="F118">
        <v>1.97</v>
      </c>
      <c r="G118" s="4">
        <f>tblTime[[#This Row],[Tickets Handled]]/tblTime[[#This Row],[Hours Worked]]</f>
        <v>0.8024072216649949</v>
      </c>
      <c r="H118" s="7">
        <f>(tblTime[[#This Row],[Hours Worked]]-tblTime[[#This Row],[Idle Time (hrs)]])/tblTime[[#This Row],[Hours Worked]]</f>
        <v>0.84052156469408223</v>
      </c>
      <c r="I118" s="4">
        <f>tblTime[[#This Row],[Hours Worked]]-tblTime[[#This Row],[Idle Time (hrs)]]</f>
        <v>8.3800000000000008</v>
      </c>
      <c r="J118" t="str">
        <f>VLOOKUP(tblTime[[#This Row],[Agent Name]],tblAgents[[#All],[Agent Name]:[Experience Level]],2,FALSE)</f>
        <v>Mid</v>
      </c>
      <c r="K118" t="str">
        <f>VLOOKUP(tblTime[[#This Row],[Agent Name]],Agent_Info!A:C,3,FALSE)</f>
        <v>Team 2</v>
      </c>
      <c r="L118" t="str">
        <f>VLOOKUP(tblTime[[#This Row],[Agent Name]],Agent_Info!A:D,4,FALSE)</f>
        <v>dallas</v>
      </c>
      <c r="M118" t="str">
        <f>VLOOKUP(tblTime[[#This Row],[Agent Name]],Agent_Info!$A:$E,5,FALSE)</f>
        <v>M</v>
      </c>
      <c r="N118">
        <f>SUMIFS(Support_Tickets!J:J, Support_Tickets!B:B, tblTime[[#This Row],[Date]],Support_Tickets!F:F,tblTime[[#This Row],[Agent Name]])</f>
        <v>0</v>
      </c>
    </row>
    <row r="119" spans="1:14" x14ac:dyDescent="0.35">
      <c r="A119" t="s">
        <v>20</v>
      </c>
      <c r="B119" s="3">
        <v>45667</v>
      </c>
      <c r="C119">
        <v>9.66</v>
      </c>
      <c r="D119">
        <v>18</v>
      </c>
      <c r="E119">
        <v>1.54</v>
      </c>
      <c r="F119">
        <v>1.66</v>
      </c>
      <c r="G119" s="4">
        <f>tblTime[[#This Row],[Tickets Handled]]/tblTime[[#This Row],[Hours Worked]]</f>
        <v>1.8633540372670807</v>
      </c>
      <c r="H119" s="7">
        <f>(tblTime[[#This Row],[Hours Worked]]-tblTime[[#This Row],[Idle Time (hrs)]])/tblTime[[#This Row],[Hours Worked]]</f>
        <v>0.84057971014492761</v>
      </c>
      <c r="I119" s="4">
        <f>tblTime[[#This Row],[Hours Worked]]-tblTime[[#This Row],[Idle Time (hrs)]]</f>
        <v>8.120000000000001</v>
      </c>
      <c r="J119" t="str">
        <f>VLOOKUP(tblTime[[#This Row],[Agent Name]],tblAgents[[#All],[Agent Name]:[Experience Level]],2,FALSE)</f>
        <v>Junior</v>
      </c>
      <c r="K119" t="str">
        <f>VLOOKUP(tblTime[[#This Row],[Agent Name]],Agent_Info!A:C,3,FALSE)</f>
        <v>Team 2</v>
      </c>
      <c r="L119" t="str">
        <f>VLOOKUP(tblTime[[#This Row],[Agent Name]],Agent_Info!A:D,4,FALSE)</f>
        <v>edison</v>
      </c>
      <c r="M119" t="str">
        <f>VLOOKUP(tblTime[[#This Row],[Agent Name]],Agent_Info!$A:$E,5,FALSE)</f>
        <v>F</v>
      </c>
      <c r="N119">
        <f>SUMIFS(Support_Tickets!J:J, Support_Tickets!B:B, tblTime[[#This Row],[Date]],Support_Tickets!F:F,tblTime[[#This Row],[Agent Name]])</f>
        <v>7.97</v>
      </c>
    </row>
    <row r="120" spans="1:14" x14ac:dyDescent="0.35">
      <c r="A120" t="s">
        <v>20</v>
      </c>
      <c r="B120" s="3">
        <v>45736</v>
      </c>
      <c r="C120">
        <v>8.91</v>
      </c>
      <c r="D120">
        <v>21</v>
      </c>
      <c r="E120">
        <v>1.41</v>
      </c>
      <c r="F120">
        <v>0.91</v>
      </c>
      <c r="G120" s="4">
        <f>tblTime[[#This Row],[Tickets Handled]]/tblTime[[#This Row],[Hours Worked]]</f>
        <v>2.3569023569023568</v>
      </c>
      <c r="H120" s="7">
        <f>(tblTime[[#This Row],[Hours Worked]]-tblTime[[#This Row],[Idle Time (hrs)]])/tblTime[[#This Row],[Hours Worked]]</f>
        <v>0.84175084175084169</v>
      </c>
      <c r="I120" s="4">
        <f>tblTime[[#This Row],[Hours Worked]]-tblTime[[#This Row],[Idle Time (hrs)]]</f>
        <v>7.5</v>
      </c>
      <c r="J120" t="str">
        <f>VLOOKUP(tblTime[[#This Row],[Agent Name]],tblAgents[[#All],[Agent Name]:[Experience Level]],2,FALSE)</f>
        <v>Junior</v>
      </c>
      <c r="K120" t="str">
        <f>VLOOKUP(tblTime[[#This Row],[Agent Name]],Agent_Info!A:C,3,FALSE)</f>
        <v>Team 2</v>
      </c>
      <c r="L120" t="str">
        <f>VLOOKUP(tblTime[[#This Row],[Agent Name]],Agent_Info!A:D,4,FALSE)</f>
        <v>edison</v>
      </c>
      <c r="M120" t="str">
        <f>VLOOKUP(tblTime[[#This Row],[Agent Name]],Agent_Info!$A:$E,5,FALSE)</f>
        <v>F</v>
      </c>
      <c r="N120">
        <f>SUMIFS(Support_Tickets!J:J, Support_Tickets!B:B, tblTime[[#This Row],[Date]],Support_Tickets!F:F,tblTime[[#This Row],[Agent Name]])</f>
        <v>4.51</v>
      </c>
    </row>
    <row r="121" spans="1:14" x14ac:dyDescent="0.35">
      <c r="A121" t="s">
        <v>45</v>
      </c>
      <c r="B121" s="3">
        <v>45746</v>
      </c>
      <c r="C121">
        <v>9.44</v>
      </c>
      <c r="D121">
        <v>16</v>
      </c>
      <c r="E121">
        <v>1.49</v>
      </c>
      <c r="F121">
        <v>1.44</v>
      </c>
      <c r="G121" s="4">
        <f>tblTime[[#This Row],[Tickets Handled]]/tblTime[[#This Row],[Hours Worked]]</f>
        <v>1.6949152542372883</v>
      </c>
      <c r="H121" s="7">
        <f>(tblTime[[#This Row],[Hours Worked]]-tblTime[[#This Row],[Idle Time (hrs)]])/tblTime[[#This Row],[Hours Worked]]</f>
        <v>0.84216101694915246</v>
      </c>
      <c r="I121" s="4">
        <f>tblTime[[#This Row],[Hours Worked]]-tblTime[[#This Row],[Idle Time (hrs)]]</f>
        <v>7.9499999999999993</v>
      </c>
      <c r="J121" t="str">
        <f>VLOOKUP(tblTime[[#This Row],[Agent Name]],tblAgents[[#All],[Agent Name]:[Experience Level]],2,FALSE)</f>
        <v>Junior</v>
      </c>
      <c r="K121" t="str">
        <f>VLOOKUP(tblTime[[#This Row],[Agent Name]],Agent_Info!A:C,3,FALSE)</f>
        <v>Team 1</v>
      </c>
      <c r="L121" t="str">
        <f>VLOOKUP(tblTime[[#This Row],[Agent Name]],Agent_Info!A:D,4,FALSE)</f>
        <v>new york</v>
      </c>
      <c r="M121" t="str">
        <f>VLOOKUP(tblTime[[#This Row],[Agent Name]],Agent_Info!$A:$E,5,FALSE)</f>
        <v>F</v>
      </c>
      <c r="N121">
        <f>SUMIFS(Support_Tickets!J:J, Support_Tickets!B:B, tblTime[[#This Row],[Date]],Support_Tickets!F:F,tblTime[[#This Row],[Agent Name]])</f>
        <v>3.72</v>
      </c>
    </row>
    <row r="122" spans="1:14" x14ac:dyDescent="0.35">
      <c r="A122" t="s">
        <v>25</v>
      </c>
      <c r="B122" s="3">
        <v>45663</v>
      </c>
      <c r="C122">
        <v>9.74</v>
      </c>
      <c r="D122">
        <v>25</v>
      </c>
      <c r="E122">
        <v>1.52</v>
      </c>
      <c r="F122">
        <v>1.74</v>
      </c>
      <c r="G122" s="4">
        <f>tblTime[[#This Row],[Tickets Handled]]/tblTime[[#This Row],[Hours Worked]]</f>
        <v>2.5667351129363447</v>
      </c>
      <c r="H122" s="7">
        <f>(tblTime[[#This Row],[Hours Worked]]-tblTime[[#This Row],[Idle Time (hrs)]])/tblTime[[#This Row],[Hours Worked]]</f>
        <v>0.84394250513347024</v>
      </c>
      <c r="I122" s="4">
        <f>tblTime[[#This Row],[Hours Worked]]-tblTime[[#This Row],[Idle Time (hrs)]]</f>
        <v>8.2200000000000006</v>
      </c>
      <c r="J122" t="str">
        <f>VLOOKUP(tblTime[[#This Row],[Agent Name]],tblAgents[[#All],[Agent Name]:[Experience Level]],2,FALSE)</f>
        <v>Mid</v>
      </c>
      <c r="K122" t="str">
        <f>VLOOKUP(tblTime[[#This Row],[Agent Name]],Agent_Info!A:C,3,FALSE)</f>
        <v>Team 2</v>
      </c>
      <c r="L122" t="str">
        <f>VLOOKUP(tblTime[[#This Row],[Agent Name]],Agent_Info!A:D,4,FALSE)</f>
        <v>dallas</v>
      </c>
      <c r="M122" t="str">
        <f>VLOOKUP(tblTime[[#This Row],[Agent Name]],Agent_Info!$A:$E,5,FALSE)</f>
        <v>M</v>
      </c>
      <c r="N122">
        <f>SUMIFS(Support_Tickets!J:J, Support_Tickets!B:B, tblTime[[#This Row],[Date]],Support_Tickets!F:F,tblTime[[#This Row],[Agent Name]])</f>
        <v>6.26</v>
      </c>
    </row>
    <row r="123" spans="1:14" x14ac:dyDescent="0.35">
      <c r="A123" t="s">
        <v>25</v>
      </c>
      <c r="B123" s="3">
        <v>45665</v>
      </c>
      <c r="C123">
        <v>9.07</v>
      </c>
      <c r="D123">
        <v>9</v>
      </c>
      <c r="E123">
        <v>1.38</v>
      </c>
      <c r="F123">
        <v>1.07</v>
      </c>
      <c r="G123" s="4">
        <f>tblTime[[#This Row],[Tickets Handled]]/tblTime[[#This Row],[Hours Worked]]</f>
        <v>0.99228224917309804</v>
      </c>
      <c r="H123" s="7">
        <f>(tblTime[[#This Row],[Hours Worked]]-tblTime[[#This Row],[Idle Time (hrs)]])/tblTime[[#This Row],[Hours Worked]]</f>
        <v>0.84785005512679168</v>
      </c>
      <c r="I123" s="4">
        <f>tblTime[[#This Row],[Hours Worked]]-tblTime[[#This Row],[Idle Time (hrs)]]</f>
        <v>7.69</v>
      </c>
      <c r="J123" t="str">
        <f>VLOOKUP(tblTime[[#This Row],[Agent Name]],tblAgents[[#All],[Agent Name]:[Experience Level]],2,FALSE)</f>
        <v>Mid</v>
      </c>
      <c r="K123" t="str">
        <f>VLOOKUP(tblTime[[#This Row],[Agent Name]],Agent_Info!A:C,3,FALSE)</f>
        <v>Team 2</v>
      </c>
      <c r="L123" t="str">
        <f>VLOOKUP(tblTime[[#This Row],[Agent Name]],Agent_Info!A:D,4,FALSE)</f>
        <v>dallas</v>
      </c>
      <c r="M123" t="str">
        <f>VLOOKUP(tblTime[[#This Row],[Agent Name]],Agent_Info!$A:$E,5,FALSE)</f>
        <v>M</v>
      </c>
      <c r="N123">
        <f>SUMIFS(Support_Tickets!J:J, Support_Tickets!B:B, tblTime[[#This Row],[Date]],Support_Tickets!F:F,tblTime[[#This Row],[Agent Name]])</f>
        <v>2.2799999999999998</v>
      </c>
    </row>
    <row r="124" spans="1:14" x14ac:dyDescent="0.35">
      <c r="A124" t="s">
        <v>14</v>
      </c>
      <c r="B124" s="3">
        <v>45740</v>
      </c>
      <c r="C124">
        <v>9.2100000000000009</v>
      </c>
      <c r="D124">
        <v>19</v>
      </c>
      <c r="E124">
        <v>1.4</v>
      </c>
      <c r="F124">
        <v>1.21</v>
      </c>
      <c r="G124" s="4">
        <f>tblTime[[#This Row],[Tickets Handled]]/tblTime[[#This Row],[Hours Worked]]</f>
        <v>2.0629750271444083</v>
      </c>
      <c r="H124" s="7">
        <f>(tblTime[[#This Row],[Hours Worked]]-tblTime[[#This Row],[Idle Time (hrs)]])/tblTime[[#This Row],[Hours Worked]]</f>
        <v>0.84799131378935932</v>
      </c>
      <c r="I124" s="4">
        <f>tblTime[[#This Row],[Hours Worked]]-tblTime[[#This Row],[Idle Time (hrs)]]</f>
        <v>7.8100000000000005</v>
      </c>
      <c r="J124" t="str">
        <f>VLOOKUP(tblTime[[#This Row],[Agent Name]],tblAgents[[#All],[Agent Name]:[Experience Level]],2,FALSE)</f>
        <v>Senior</v>
      </c>
      <c r="K124" t="str">
        <f>VLOOKUP(tblTime[[#This Row],[Agent Name]],Agent_Info!A:C,3,FALSE)</f>
        <v>Team 2</v>
      </c>
      <c r="L124" t="str">
        <f>VLOOKUP(tblTime[[#This Row],[Agent Name]],Agent_Info!A:D,4,FALSE)</f>
        <v>hillsborough</v>
      </c>
      <c r="M124" t="str">
        <f>VLOOKUP(tblTime[[#This Row],[Agent Name]],Agent_Info!$A:$E,5,FALSE)</f>
        <v>M</v>
      </c>
      <c r="N124">
        <f>SUMIFS(Support_Tickets!J:J, Support_Tickets!B:B, tblTime[[#This Row],[Date]],Support_Tickets!F:F,tblTime[[#This Row],[Agent Name]])</f>
        <v>4.04</v>
      </c>
    </row>
    <row r="125" spans="1:14" x14ac:dyDescent="0.35">
      <c r="A125" t="s">
        <v>45</v>
      </c>
      <c r="B125" s="3">
        <v>45707</v>
      </c>
      <c r="C125">
        <v>9.84</v>
      </c>
      <c r="D125">
        <v>17</v>
      </c>
      <c r="E125">
        <v>1.49</v>
      </c>
      <c r="F125">
        <v>1.84</v>
      </c>
      <c r="G125" s="4">
        <f>tblTime[[#This Row],[Tickets Handled]]/tblTime[[#This Row],[Hours Worked]]</f>
        <v>1.7276422764227644</v>
      </c>
      <c r="H125" s="7">
        <f>(tblTime[[#This Row],[Hours Worked]]-tblTime[[#This Row],[Idle Time (hrs)]])/tblTime[[#This Row],[Hours Worked]]</f>
        <v>0.84857723577235766</v>
      </c>
      <c r="I125" s="4">
        <f>tblTime[[#This Row],[Hours Worked]]-tblTime[[#This Row],[Idle Time (hrs)]]</f>
        <v>8.35</v>
      </c>
      <c r="J125" t="str">
        <f>VLOOKUP(tblTime[[#This Row],[Agent Name]],tblAgents[[#All],[Agent Name]:[Experience Level]],2,FALSE)</f>
        <v>Junior</v>
      </c>
      <c r="K125" t="str">
        <f>VLOOKUP(tblTime[[#This Row],[Agent Name]],Agent_Info!A:C,3,FALSE)</f>
        <v>Team 1</v>
      </c>
      <c r="L125" t="str">
        <f>VLOOKUP(tblTime[[#This Row],[Agent Name]],Agent_Info!A:D,4,FALSE)</f>
        <v>new york</v>
      </c>
      <c r="M125" t="str">
        <f>VLOOKUP(tblTime[[#This Row],[Agent Name]],Agent_Info!$A:$E,5,FALSE)</f>
        <v>F</v>
      </c>
      <c r="N125">
        <f>SUMIFS(Support_Tickets!J:J, Support_Tickets!B:B, tblTime[[#This Row],[Date]],Support_Tickets!F:F,tblTime[[#This Row],[Agent Name]])</f>
        <v>0</v>
      </c>
    </row>
    <row r="126" spans="1:14" x14ac:dyDescent="0.35">
      <c r="A126" t="s">
        <v>20</v>
      </c>
      <c r="B126" s="3">
        <v>45727</v>
      </c>
      <c r="C126">
        <v>8.1999999999999993</v>
      </c>
      <c r="D126">
        <v>5</v>
      </c>
      <c r="E126">
        <v>1.24</v>
      </c>
      <c r="F126">
        <v>0.2</v>
      </c>
      <c r="G126" s="4">
        <f>tblTime[[#This Row],[Tickets Handled]]/tblTime[[#This Row],[Hours Worked]]</f>
        <v>0.60975609756097571</v>
      </c>
      <c r="H126" s="7">
        <f>(tblTime[[#This Row],[Hours Worked]]-tblTime[[#This Row],[Idle Time (hrs)]])/tblTime[[#This Row],[Hours Worked]]</f>
        <v>0.84878048780487803</v>
      </c>
      <c r="I126" s="4">
        <f>tblTime[[#This Row],[Hours Worked]]-tblTime[[#This Row],[Idle Time (hrs)]]</f>
        <v>6.9599999999999991</v>
      </c>
      <c r="J126" t="str">
        <f>VLOOKUP(tblTime[[#This Row],[Agent Name]],tblAgents[[#All],[Agent Name]:[Experience Level]],2,FALSE)</f>
        <v>Junior</v>
      </c>
      <c r="K126" t="str">
        <f>VLOOKUP(tblTime[[#This Row],[Agent Name]],Agent_Info!A:C,3,FALSE)</f>
        <v>Team 2</v>
      </c>
      <c r="L126" t="str">
        <f>VLOOKUP(tblTime[[#This Row],[Agent Name]],Agent_Info!A:D,4,FALSE)</f>
        <v>edison</v>
      </c>
      <c r="M126" t="str">
        <f>VLOOKUP(tblTime[[#This Row],[Agent Name]],Agent_Info!$A:$E,5,FALSE)</f>
        <v>F</v>
      </c>
      <c r="N126">
        <f>SUMIFS(Support_Tickets!J:J, Support_Tickets!B:B, tblTime[[#This Row],[Date]],Support_Tickets!F:F,tblTime[[#This Row],[Agent Name]])</f>
        <v>0</v>
      </c>
    </row>
    <row r="127" spans="1:14" x14ac:dyDescent="0.35">
      <c r="A127" t="s">
        <v>41</v>
      </c>
      <c r="B127" s="3">
        <v>45716</v>
      </c>
      <c r="C127">
        <v>7.91</v>
      </c>
      <c r="D127">
        <v>8</v>
      </c>
      <c r="E127">
        <v>1.1499999999999999</v>
      </c>
      <c r="F127">
        <v>0</v>
      </c>
      <c r="G127" s="4">
        <f>tblTime[[#This Row],[Tickets Handled]]/tblTime[[#This Row],[Hours Worked]]</f>
        <v>1.0113780025284449</v>
      </c>
      <c r="H127" s="7">
        <f>(tblTime[[#This Row],[Hours Worked]]-tblTime[[#This Row],[Idle Time (hrs)]])/tblTime[[#This Row],[Hours Worked]]</f>
        <v>0.85461441213653599</v>
      </c>
      <c r="I127" s="4">
        <f>tblTime[[#This Row],[Hours Worked]]-tblTime[[#This Row],[Idle Time (hrs)]]</f>
        <v>6.76</v>
      </c>
      <c r="J127" t="str">
        <f>VLOOKUP(tblTime[[#This Row],[Agent Name]],tblAgents[[#All],[Agent Name]:[Experience Level]],2,FALSE)</f>
        <v>Junior</v>
      </c>
      <c r="K127" t="str">
        <f>VLOOKUP(tblTime[[#This Row],[Agent Name]],Agent_Info!A:C,3,FALSE)</f>
        <v>Team 1</v>
      </c>
      <c r="L127" t="str">
        <f>VLOOKUP(tblTime[[#This Row],[Agent Name]],Agent_Info!A:D,4,FALSE)</f>
        <v>richmond</v>
      </c>
      <c r="M127" t="str">
        <f>VLOOKUP(tblTime[[#This Row],[Agent Name]],Agent_Info!$A:$E,5,FALSE)</f>
        <v>F</v>
      </c>
      <c r="N127">
        <f>SUMIFS(Support_Tickets!J:J, Support_Tickets!B:B, tblTime[[#This Row],[Date]],Support_Tickets!F:F,tblTime[[#This Row],[Agent Name]])</f>
        <v>15.299999999999999</v>
      </c>
    </row>
    <row r="128" spans="1:14" x14ac:dyDescent="0.35">
      <c r="A128" t="s">
        <v>14</v>
      </c>
      <c r="B128" s="3">
        <v>45746</v>
      </c>
      <c r="C128">
        <v>9.76</v>
      </c>
      <c r="D128">
        <v>21</v>
      </c>
      <c r="E128">
        <v>1.35</v>
      </c>
      <c r="F128">
        <v>1.76</v>
      </c>
      <c r="G128" s="4">
        <f>tblTime[[#This Row],[Tickets Handled]]/tblTime[[#This Row],[Hours Worked]]</f>
        <v>2.151639344262295</v>
      </c>
      <c r="H128" s="7">
        <f>(tblTime[[#This Row],[Hours Worked]]-tblTime[[#This Row],[Idle Time (hrs)]])/tblTime[[#This Row],[Hours Worked]]</f>
        <v>0.86168032786885251</v>
      </c>
      <c r="I128" s="4">
        <f>tblTime[[#This Row],[Hours Worked]]-tblTime[[#This Row],[Idle Time (hrs)]]</f>
        <v>8.41</v>
      </c>
      <c r="J128" t="str">
        <f>VLOOKUP(tblTime[[#This Row],[Agent Name]],tblAgents[[#All],[Agent Name]:[Experience Level]],2,FALSE)</f>
        <v>Senior</v>
      </c>
      <c r="K128" t="str">
        <f>VLOOKUP(tblTime[[#This Row],[Agent Name]],Agent_Info!A:C,3,FALSE)</f>
        <v>Team 2</v>
      </c>
      <c r="L128" t="str">
        <f>VLOOKUP(tblTime[[#This Row],[Agent Name]],Agent_Info!A:D,4,FALSE)</f>
        <v>hillsborough</v>
      </c>
      <c r="M128" t="str">
        <f>VLOOKUP(tblTime[[#This Row],[Agent Name]],Agent_Info!$A:$E,5,FALSE)</f>
        <v>M</v>
      </c>
      <c r="N128">
        <f>SUMIFS(Support_Tickets!J:J, Support_Tickets!B:B, tblTime[[#This Row],[Date]],Support_Tickets!F:F,tblTime[[#This Row],[Agent Name]])</f>
        <v>3.15</v>
      </c>
    </row>
    <row r="129" spans="1:14" x14ac:dyDescent="0.35">
      <c r="A129" t="s">
        <v>41</v>
      </c>
      <c r="B129" s="3">
        <v>45663</v>
      </c>
      <c r="C129">
        <v>8.1</v>
      </c>
      <c r="D129">
        <v>20</v>
      </c>
      <c r="E129">
        <v>1.1000000000000001</v>
      </c>
      <c r="F129">
        <v>0.1</v>
      </c>
      <c r="G129" s="4">
        <f>tblTime[[#This Row],[Tickets Handled]]/tblTime[[#This Row],[Hours Worked]]</f>
        <v>2.4691358024691361</v>
      </c>
      <c r="H129" s="7">
        <f>(tblTime[[#This Row],[Hours Worked]]-tblTime[[#This Row],[Idle Time (hrs)]])/tblTime[[#This Row],[Hours Worked]]</f>
        <v>0.86419753086419759</v>
      </c>
      <c r="I129" s="4">
        <f>tblTime[[#This Row],[Hours Worked]]-tblTime[[#This Row],[Idle Time (hrs)]]</f>
        <v>7</v>
      </c>
      <c r="J129" t="str">
        <f>VLOOKUP(tblTime[[#This Row],[Agent Name]],tblAgents[[#All],[Agent Name]:[Experience Level]],2,FALSE)</f>
        <v>Junior</v>
      </c>
      <c r="K129" t="str">
        <f>VLOOKUP(tblTime[[#This Row],[Agent Name]],Agent_Info!A:C,3,FALSE)</f>
        <v>Team 1</v>
      </c>
      <c r="L129" t="str">
        <f>VLOOKUP(tblTime[[#This Row],[Agent Name]],Agent_Info!A:D,4,FALSE)</f>
        <v>richmond</v>
      </c>
      <c r="M129" t="str">
        <f>VLOOKUP(tblTime[[#This Row],[Agent Name]],Agent_Info!$A:$E,5,FALSE)</f>
        <v>F</v>
      </c>
      <c r="N129">
        <f>SUMIFS(Support_Tickets!J:J, Support_Tickets!B:B, tblTime[[#This Row],[Date]],Support_Tickets!F:F,tblTime[[#This Row],[Agent Name]])</f>
        <v>0</v>
      </c>
    </row>
    <row r="130" spans="1:14" x14ac:dyDescent="0.35">
      <c r="A130" t="s">
        <v>41</v>
      </c>
      <c r="B130" s="3">
        <v>45700</v>
      </c>
      <c r="C130">
        <v>9.7799999999999994</v>
      </c>
      <c r="D130">
        <v>15</v>
      </c>
      <c r="E130">
        <v>1.32</v>
      </c>
      <c r="F130">
        <v>1.78</v>
      </c>
      <c r="G130" s="4">
        <f>tblTime[[#This Row],[Tickets Handled]]/tblTime[[#This Row],[Hours Worked]]</f>
        <v>1.5337423312883436</v>
      </c>
      <c r="H130" s="7">
        <f>(tblTime[[#This Row],[Hours Worked]]-tblTime[[#This Row],[Idle Time (hrs)]])/tblTime[[#This Row],[Hours Worked]]</f>
        <v>0.86503067484662577</v>
      </c>
      <c r="I130" s="4">
        <f>tblTime[[#This Row],[Hours Worked]]-tblTime[[#This Row],[Idle Time (hrs)]]</f>
        <v>8.4599999999999991</v>
      </c>
      <c r="J130" t="str">
        <f>VLOOKUP(tblTime[[#This Row],[Agent Name]],tblAgents[[#All],[Agent Name]:[Experience Level]],2,FALSE)</f>
        <v>Junior</v>
      </c>
      <c r="K130" t="str">
        <f>VLOOKUP(tblTime[[#This Row],[Agent Name]],Agent_Info!A:C,3,FALSE)</f>
        <v>Team 1</v>
      </c>
      <c r="L130" t="str">
        <f>VLOOKUP(tblTime[[#This Row],[Agent Name]],Agent_Info!A:D,4,FALSE)</f>
        <v>richmond</v>
      </c>
      <c r="M130" t="str">
        <f>VLOOKUP(tblTime[[#This Row],[Agent Name]],Agent_Info!$A:$E,5,FALSE)</f>
        <v>F</v>
      </c>
      <c r="N130">
        <f>SUMIFS(Support_Tickets!J:J, Support_Tickets!B:B, tblTime[[#This Row],[Date]],Support_Tickets!F:F,tblTime[[#This Row],[Agent Name]])</f>
        <v>0</v>
      </c>
    </row>
    <row r="131" spans="1:14" x14ac:dyDescent="0.35">
      <c r="A131" t="s">
        <v>41</v>
      </c>
      <c r="B131" s="3">
        <v>45666</v>
      </c>
      <c r="C131">
        <v>9.4700000000000006</v>
      </c>
      <c r="D131">
        <v>24</v>
      </c>
      <c r="E131">
        <v>1.21</v>
      </c>
      <c r="F131">
        <v>1.47</v>
      </c>
      <c r="G131" s="4">
        <f>tblTime[[#This Row],[Tickets Handled]]/tblTime[[#This Row],[Hours Worked]]</f>
        <v>2.5343189017951424</v>
      </c>
      <c r="H131" s="7">
        <f>(tblTime[[#This Row],[Hours Worked]]-tblTime[[#This Row],[Idle Time (hrs)]])/tblTime[[#This Row],[Hours Worked]]</f>
        <v>0.87222808870116164</v>
      </c>
      <c r="I131" s="4">
        <f>tblTime[[#This Row],[Hours Worked]]-tblTime[[#This Row],[Idle Time (hrs)]]</f>
        <v>8.2600000000000016</v>
      </c>
      <c r="J131" t="str">
        <f>VLOOKUP(tblTime[[#This Row],[Agent Name]],tblAgents[[#All],[Agent Name]:[Experience Level]],2,FALSE)</f>
        <v>Junior</v>
      </c>
      <c r="K131" t="str">
        <f>VLOOKUP(tblTime[[#This Row],[Agent Name]],Agent_Info!A:C,3,FALSE)</f>
        <v>Team 1</v>
      </c>
      <c r="L131" t="str">
        <f>VLOOKUP(tblTime[[#This Row],[Agent Name]],Agent_Info!A:D,4,FALSE)</f>
        <v>richmond</v>
      </c>
      <c r="M131" t="str">
        <f>VLOOKUP(tblTime[[#This Row],[Agent Name]],Agent_Info!$A:$E,5,FALSE)</f>
        <v>F</v>
      </c>
      <c r="N131">
        <f>SUMIFS(Support_Tickets!J:J, Support_Tickets!B:B, tblTime[[#This Row],[Date]],Support_Tickets!F:F,tblTime[[#This Row],[Agent Name]])</f>
        <v>0</v>
      </c>
    </row>
    <row r="132" spans="1:14" x14ac:dyDescent="0.35">
      <c r="A132" t="s">
        <v>45</v>
      </c>
      <c r="B132" s="3">
        <v>45724</v>
      </c>
      <c r="C132">
        <v>9.6199999999999992</v>
      </c>
      <c r="D132">
        <v>24</v>
      </c>
      <c r="E132">
        <v>1.2</v>
      </c>
      <c r="F132">
        <v>1.62</v>
      </c>
      <c r="G132" s="4">
        <f>tblTime[[#This Row],[Tickets Handled]]/tblTime[[#This Row],[Hours Worked]]</f>
        <v>2.4948024948024949</v>
      </c>
      <c r="H132" s="7">
        <f>(tblTime[[#This Row],[Hours Worked]]-tblTime[[#This Row],[Idle Time (hrs)]])/tblTime[[#This Row],[Hours Worked]]</f>
        <v>0.87525987525987536</v>
      </c>
      <c r="I132" s="4">
        <f>tblTime[[#This Row],[Hours Worked]]-tblTime[[#This Row],[Idle Time (hrs)]]</f>
        <v>8.42</v>
      </c>
      <c r="J132" t="str">
        <f>VLOOKUP(tblTime[[#This Row],[Agent Name]],tblAgents[[#All],[Agent Name]:[Experience Level]],2,FALSE)</f>
        <v>Junior</v>
      </c>
      <c r="K132" t="str">
        <f>VLOOKUP(tblTime[[#This Row],[Agent Name]],Agent_Info!A:C,3,FALSE)</f>
        <v>Team 1</v>
      </c>
      <c r="L132" t="str">
        <f>VLOOKUP(tblTime[[#This Row],[Agent Name]],Agent_Info!A:D,4,FALSE)</f>
        <v>new york</v>
      </c>
      <c r="M132" t="str">
        <f>VLOOKUP(tblTime[[#This Row],[Agent Name]],Agent_Info!$A:$E,5,FALSE)</f>
        <v>F</v>
      </c>
      <c r="N132">
        <f>SUMIFS(Support_Tickets!J:J, Support_Tickets!B:B, tblTime[[#This Row],[Date]],Support_Tickets!F:F,tblTime[[#This Row],[Agent Name]])</f>
        <v>7.33</v>
      </c>
    </row>
    <row r="133" spans="1:14" x14ac:dyDescent="0.35">
      <c r="A133" t="s">
        <v>25</v>
      </c>
      <c r="B133" s="3">
        <v>45746</v>
      </c>
      <c r="C133">
        <v>6.1</v>
      </c>
      <c r="D133">
        <v>5</v>
      </c>
      <c r="E133">
        <v>0.76</v>
      </c>
      <c r="F133">
        <v>0</v>
      </c>
      <c r="G133" s="4">
        <f>tblTime[[#This Row],[Tickets Handled]]/tblTime[[#This Row],[Hours Worked]]</f>
        <v>0.81967213114754101</v>
      </c>
      <c r="H133" s="7">
        <f>(tblTime[[#This Row],[Hours Worked]]-tblTime[[#This Row],[Idle Time (hrs)]])/tblTime[[#This Row],[Hours Worked]]</f>
        <v>0.87540983606557377</v>
      </c>
      <c r="I133" s="4">
        <f>tblTime[[#This Row],[Hours Worked]]-tblTime[[#This Row],[Idle Time (hrs)]]</f>
        <v>5.34</v>
      </c>
      <c r="J133" t="str">
        <f>VLOOKUP(tblTime[[#This Row],[Agent Name]],tblAgents[[#All],[Agent Name]:[Experience Level]],2,FALSE)</f>
        <v>Mid</v>
      </c>
      <c r="K133" t="str">
        <f>VLOOKUP(tblTime[[#This Row],[Agent Name]],Agent_Info!A:C,3,FALSE)</f>
        <v>Team 2</v>
      </c>
      <c r="L133" t="str">
        <f>VLOOKUP(tblTime[[#This Row],[Agent Name]],Agent_Info!A:D,4,FALSE)</f>
        <v>dallas</v>
      </c>
      <c r="M133" t="str">
        <f>VLOOKUP(tblTime[[#This Row],[Agent Name]],Agent_Info!$A:$E,5,FALSE)</f>
        <v>M</v>
      </c>
      <c r="N133">
        <f>SUMIFS(Support_Tickets!J:J, Support_Tickets!B:B, tblTime[[#This Row],[Date]],Support_Tickets!F:F,tblTime[[#This Row],[Agent Name]])</f>
        <v>0</v>
      </c>
    </row>
    <row r="134" spans="1:14" x14ac:dyDescent="0.35">
      <c r="A134" t="s">
        <v>25</v>
      </c>
      <c r="B134" s="3">
        <v>45742</v>
      </c>
      <c r="C134">
        <v>7.76</v>
      </c>
      <c r="D134">
        <v>25</v>
      </c>
      <c r="E134">
        <v>0.96</v>
      </c>
      <c r="F134">
        <v>0</v>
      </c>
      <c r="G134" s="4">
        <f>tblTime[[#This Row],[Tickets Handled]]/tblTime[[#This Row],[Hours Worked]]</f>
        <v>3.2216494845360826</v>
      </c>
      <c r="H134" s="7">
        <f>(tblTime[[#This Row],[Hours Worked]]-tblTime[[#This Row],[Idle Time (hrs)]])/tblTime[[#This Row],[Hours Worked]]</f>
        <v>0.87628865979381443</v>
      </c>
      <c r="I134" s="4">
        <f>tblTime[[#This Row],[Hours Worked]]-tblTime[[#This Row],[Idle Time (hrs)]]</f>
        <v>6.8</v>
      </c>
      <c r="J134" t="str">
        <f>VLOOKUP(tblTime[[#This Row],[Agent Name]],tblAgents[[#All],[Agent Name]:[Experience Level]],2,FALSE)</f>
        <v>Mid</v>
      </c>
      <c r="K134" t="str">
        <f>VLOOKUP(tblTime[[#This Row],[Agent Name]],Agent_Info!A:C,3,FALSE)</f>
        <v>Team 2</v>
      </c>
      <c r="L134" t="str">
        <f>VLOOKUP(tblTime[[#This Row],[Agent Name]],Agent_Info!A:D,4,FALSE)</f>
        <v>dallas</v>
      </c>
      <c r="M134" t="str">
        <f>VLOOKUP(tblTime[[#This Row],[Agent Name]],Agent_Info!$A:$E,5,FALSE)</f>
        <v>M</v>
      </c>
      <c r="N134">
        <f>SUMIFS(Support_Tickets!J:J, Support_Tickets!B:B, tblTime[[#This Row],[Date]],Support_Tickets!F:F,tblTime[[#This Row],[Agent Name]])</f>
        <v>5.57</v>
      </c>
    </row>
    <row r="135" spans="1:14" x14ac:dyDescent="0.35">
      <c r="A135" t="s">
        <v>14</v>
      </c>
      <c r="B135" s="3">
        <v>45688</v>
      </c>
      <c r="C135">
        <v>9.02</v>
      </c>
      <c r="D135">
        <v>15</v>
      </c>
      <c r="E135">
        <v>1.1000000000000001</v>
      </c>
      <c r="F135">
        <v>1.02</v>
      </c>
      <c r="G135" s="4">
        <f>tblTime[[#This Row],[Tickets Handled]]/tblTime[[#This Row],[Hours Worked]]</f>
        <v>1.6629711751662972</v>
      </c>
      <c r="H135" s="7">
        <f>(tblTime[[#This Row],[Hours Worked]]-tblTime[[#This Row],[Idle Time (hrs)]])/tblTime[[#This Row],[Hours Worked]]</f>
        <v>0.87804878048780488</v>
      </c>
      <c r="I135" s="4">
        <f>tblTime[[#This Row],[Hours Worked]]-tblTime[[#This Row],[Idle Time (hrs)]]</f>
        <v>7.92</v>
      </c>
      <c r="J135" t="str">
        <f>VLOOKUP(tblTime[[#This Row],[Agent Name]],tblAgents[[#All],[Agent Name]:[Experience Level]],2,FALSE)</f>
        <v>Senior</v>
      </c>
      <c r="K135" t="str">
        <f>VLOOKUP(tblTime[[#This Row],[Agent Name]],Agent_Info!A:C,3,FALSE)</f>
        <v>Team 2</v>
      </c>
      <c r="L135" t="str">
        <f>VLOOKUP(tblTime[[#This Row],[Agent Name]],Agent_Info!A:D,4,FALSE)</f>
        <v>hillsborough</v>
      </c>
      <c r="M135" t="str">
        <f>VLOOKUP(tblTime[[#This Row],[Agent Name]],Agent_Info!$A:$E,5,FALSE)</f>
        <v>M</v>
      </c>
      <c r="N135">
        <f>SUMIFS(Support_Tickets!J:J, Support_Tickets!B:B, tblTime[[#This Row],[Date]],Support_Tickets!F:F,tblTime[[#This Row],[Agent Name]])</f>
        <v>0</v>
      </c>
    </row>
    <row r="136" spans="1:14" x14ac:dyDescent="0.35">
      <c r="A136" t="s">
        <v>20</v>
      </c>
      <c r="B136" s="3">
        <v>45724</v>
      </c>
      <c r="C136">
        <v>6.68</v>
      </c>
      <c r="D136">
        <v>18</v>
      </c>
      <c r="E136">
        <v>0.81</v>
      </c>
      <c r="F136">
        <v>0</v>
      </c>
      <c r="G136" s="4">
        <f>tblTime[[#This Row],[Tickets Handled]]/tblTime[[#This Row],[Hours Worked]]</f>
        <v>2.6946107784431139</v>
      </c>
      <c r="H136" s="7">
        <f>(tblTime[[#This Row],[Hours Worked]]-tblTime[[#This Row],[Idle Time (hrs)]])/tblTime[[#This Row],[Hours Worked]]</f>
        <v>0.87874251497005984</v>
      </c>
      <c r="I136" s="4">
        <f>tblTime[[#This Row],[Hours Worked]]-tblTime[[#This Row],[Idle Time (hrs)]]</f>
        <v>5.8699999999999992</v>
      </c>
      <c r="J136" t="str">
        <f>VLOOKUP(tblTime[[#This Row],[Agent Name]],tblAgents[[#All],[Agent Name]:[Experience Level]],2,FALSE)</f>
        <v>Junior</v>
      </c>
      <c r="K136" t="str">
        <f>VLOOKUP(tblTime[[#This Row],[Agent Name]],Agent_Info!A:C,3,FALSE)</f>
        <v>Team 2</v>
      </c>
      <c r="L136" t="str">
        <f>VLOOKUP(tblTime[[#This Row],[Agent Name]],Agent_Info!A:D,4,FALSE)</f>
        <v>edison</v>
      </c>
      <c r="M136" t="str">
        <f>VLOOKUP(tblTime[[#This Row],[Agent Name]],Agent_Info!$A:$E,5,FALSE)</f>
        <v>F</v>
      </c>
      <c r="N136">
        <f>SUMIFS(Support_Tickets!J:J, Support_Tickets!B:B, tblTime[[#This Row],[Date]],Support_Tickets!F:F,tblTime[[#This Row],[Agent Name]])</f>
        <v>11.57</v>
      </c>
    </row>
    <row r="137" spans="1:14" x14ac:dyDescent="0.35">
      <c r="A137" t="s">
        <v>14</v>
      </c>
      <c r="B137" s="3">
        <v>45691</v>
      </c>
      <c r="C137">
        <v>8.15</v>
      </c>
      <c r="D137">
        <v>13</v>
      </c>
      <c r="E137">
        <v>0.98</v>
      </c>
      <c r="F137">
        <v>0.15</v>
      </c>
      <c r="G137" s="4">
        <f>tblTime[[#This Row],[Tickets Handled]]/tblTime[[#This Row],[Hours Worked]]</f>
        <v>1.5950920245398772</v>
      </c>
      <c r="H137" s="7">
        <f>(tblTime[[#This Row],[Hours Worked]]-tblTime[[#This Row],[Idle Time (hrs)]])/tblTime[[#This Row],[Hours Worked]]</f>
        <v>0.87975460122699378</v>
      </c>
      <c r="I137" s="4">
        <f>tblTime[[#This Row],[Hours Worked]]-tblTime[[#This Row],[Idle Time (hrs)]]</f>
        <v>7.17</v>
      </c>
      <c r="J137" t="str">
        <f>VLOOKUP(tblTime[[#This Row],[Agent Name]],tblAgents[[#All],[Agent Name]:[Experience Level]],2,FALSE)</f>
        <v>Senior</v>
      </c>
      <c r="K137" t="str">
        <f>VLOOKUP(tblTime[[#This Row],[Agent Name]],Agent_Info!A:C,3,FALSE)</f>
        <v>Team 2</v>
      </c>
      <c r="L137" t="str">
        <f>VLOOKUP(tblTime[[#This Row],[Agent Name]],Agent_Info!A:D,4,FALSE)</f>
        <v>hillsborough</v>
      </c>
      <c r="M137" t="str">
        <f>VLOOKUP(tblTime[[#This Row],[Agent Name]],Agent_Info!$A:$E,5,FALSE)</f>
        <v>M</v>
      </c>
      <c r="N137">
        <f>SUMIFS(Support_Tickets!J:J, Support_Tickets!B:B, tblTime[[#This Row],[Date]],Support_Tickets!F:F,tblTime[[#This Row],[Agent Name]])</f>
        <v>0</v>
      </c>
    </row>
    <row r="138" spans="1:14" x14ac:dyDescent="0.35">
      <c r="A138" t="s">
        <v>14</v>
      </c>
      <c r="B138" s="3">
        <v>45709</v>
      </c>
      <c r="C138">
        <v>6.49</v>
      </c>
      <c r="D138">
        <v>17</v>
      </c>
      <c r="E138">
        <v>0.75</v>
      </c>
      <c r="F138">
        <v>0</v>
      </c>
      <c r="G138" s="4">
        <f>tblTime[[#This Row],[Tickets Handled]]/tblTime[[#This Row],[Hours Worked]]</f>
        <v>2.6194144838212634</v>
      </c>
      <c r="H138" s="7">
        <f>(tblTime[[#This Row],[Hours Worked]]-tblTime[[#This Row],[Idle Time (hrs)]])/tblTime[[#This Row],[Hours Worked]]</f>
        <v>0.88443759630200314</v>
      </c>
      <c r="I138" s="4">
        <f>tblTime[[#This Row],[Hours Worked]]-tblTime[[#This Row],[Idle Time (hrs)]]</f>
        <v>5.74</v>
      </c>
      <c r="J138" t="str">
        <f>VLOOKUP(tblTime[[#This Row],[Agent Name]],tblAgents[[#All],[Agent Name]:[Experience Level]],2,FALSE)</f>
        <v>Senior</v>
      </c>
      <c r="K138" t="str">
        <f>VLOOKUP(tblTime[[#This Row],[Agent Name]],Agent_Info!A:C,3,FALSE)</f>
        <v>Team 2</v>
      </c>
      <c r="L138" t="str">
        <f>VLOOKUP(tblTime[[#This Row],[Agent Name]],Agent_Info!A:D,4,FALSE)</f>
        <v>hillsborough</v>
      </c>
      <c r="M138" t="str">
        <f>VLOOKUP(tblTime[[#This Row],[Agent Name]],Agent_Info!$A:$E,5,FALSE)</f>
        <v>M</v>
      </c>
      <c r="N138">
        <f>SUMIFS(Support_Tickets!J:J, Support_Tickets!B:B, tblTime[[#This Row],[Date]],Support_Tickets!F:F,tblTime[[#This Row],[Agent Name]])</f>
        <v>0</v>
      </c>
    </row>
    <row r="139" spans="1:14" x14ac:dyDescent="0.35">
      <c r="A139" t="s">
        <v>25</v>
      </c>
      <c r="B139" s="3">
        <v>45678</v>
      </c>
      <c r="C139">
        <v>8.32</v>
      </c>
      <c r="D139">
        <v>7</v>
      </c>
      <c r="E139">
        <v>0.96</v>
      </c>
      <c r="F139">
        <v>0.32</v>
      </c>
      <c r="G139" s="4">
        <f>tblTime[[#This Row],[Tickets Handled]]/tblTime[[#This Row],[Hours Worked]]</f>
        <v>0.84134615384615385</v>
      </c>
      <c r="H139" s="7">
        <f>(tblTime[[#This Row],[Hours Worked]]-tblTime[[#This Row],[Idle Time (hrs)]])/tblTime[[#This Row],[Hours Worked]]</f>
        <v>0.88461538461538458</v>
      </c>
      <c r="I139" s="4">
        <f>tblTime[[#This Row],[Hours Worked]]-tblTime[[#This Row],[Idle Time (hrs)]]</f>
        <v>7.36</v>
      </c>
      <c r="J139" t="str">
        <f>VLOOKUP(tblTime[[#This Row],[Agent Name]],tblAgents[[#All],[Agent Name]:[Experience Level]],2,FALSE)</f>
        <v>Mid</v>
      </c>
      <c r="K139" t="str">
        <f>VLOOKUP(tblTime[[#This Row],[Agent Name]],Agent_Info!A:C,3,FALSE)</f>
        <v>Team 2</v>
      </c>
      <c r="L139" t="str">
        <f>VLOOKUP(tblTime[[#This Row],[Agent Name]],Agent_Info!A:D,4,FALSE)</f>
        <v>dallas</v>
      </c>
      <c r="M139" t="str">
        <f>VLOOKUP(tblTime[[#This Row],[Agent Name]],Agent_Info!$A:$E,5,FALSE)</f>
        <v>M</v>
      </c>
      <c r="N139">
        <f>SUMIFS(Support_Tickets!J:J, Support_Tickets!B:B, tblTime[[#This Row],[Date]],Support_Tickets!F:F,tblTime[[#This Row],[Agent Name]])</f>
        <v>7.43</v>
      </c>
    </row>
    <row r="140" spans="1:14" x14ac:dyDescent="0.35">
      <c r="A140" t="s">
        <v>25</v>
      </c>
      <c r="B140" s="3">
        <v>45697</v>
      </c>
      <c r="C140">
        <v>9.6199999999999992</v>
      </c>
      <c r="D140">
        <v>10</v>
      </c>
      <c r="E140">
        <v>1.1000000000000001</v>
      </c>
      <c r="F140">
        <v>1.62</v>
      </c>
      <c r="G140" s="4">
        <f>tblTime[[#This Row],[Tickets Handled]]/tblTime[[#This Row],[Hours Worked]]</f>
        <v>1.0395010395010396</v>
      </c>
      <c r="H140" s="7">
        <f>(tblTime[[#This Row],[Hours Worked]]-tblTime[[#This Row],[Idle Time (hrs)]])/tblTime[[#This Row],[Hours Worked]]</f>
        <v>0.8856548856548857</v>
      </c>
      <c r="I140" s="4">
        <f>tblTime[[#This Row],[Hours Worked]]-tblTime[[#This Row],[Idle Time (hrs)]]</f>
        <v>8.52</v>
      </c>
      <c r="J140" t="str">
        <f>VLOOKUP(tblTime[[#This Row],[Agent Name]],tblAgents[[#All],[Agent Name]:[Experience Level]],2,FALSE)</f>
        <v>Mid</v>
      </c>
      <c r="K140" t="str">
        <f>VLOOKUP(tblTime[[#This Row],[Agent Name]],Agent_Info!A:C,3,FALSE)</f>
        <v>Team 2</v>
      </c>
      <c r="L140" t="str">
        <f>VLOOKUP(tblTime[[#This Row],[Agent Name]],Agent_Info!A:D,4,FALSE)</f>
        <v>dallas</v>
      </c>
      <c r="M140" t="str">
        <f>VLOOKUP(tblTime[[#This Row],[Agent Name]],Agent_Info!$A:$E,5,FALSE)</f>
        <v>M</v>
      </c>
      <c r="N140">
        <f>SUMIFS(Support_Tickets!J:J, Support_Tickets!B:B, tblTime[[#This Row],[Date]],Support_Tickets!F:F,tblTime[[#This Row],[Agent Name]])</f>
        <v>1.48</v>
      </c>
    </row>
    <row r="141" spans="1:14" x14ac:dyDescent="0.35">
      <c r="A141" t="s">
        <v>25</v>
      </c>
      <c r="B141" s="3">
        <v>45732</v>
      </c>
      <c r="C141">
        <v>6.79</v>
      </c>
      <c r="D141">
        <v>17</v>
      </c>
      <c r="E141">
        <v>0.77</v>
      </c>
      <c r="F141">
        <v>0</v>
      </c>
      <c r="G141" s="4">
        <f>tblTime[[#This Row],[Tickets Handled]]/tblTime[[#This Row],[Hours Worked]]</f>
        <v>2.5036818851251841</v>
      </c>
      <c r="H141" s="7">
        <f>(tblTime[[#This Row],[Hours Worked]]-tblTime[[#This Row],[Idle Time (hrs)]])/tblTime[[#This Row],[Hours Worked]]</f>
        <v>0.88659793814432986</v>
      </c>
      <c r="I141" s="4">
        <f>tblTime[[#This Row],[Hours Worked]]-tblTime[[#This Row],[Idle Time (hrs)]]</f>
        <v>6.02</v>
      </c>
      <c r="J141" t="str">
        <f>VLOOKUP(tblTime[[#This Row],[Agent Name]],tblAgents[[#All],[Agent Name]:[Experience Level]],2,FALSE)</f>
        <v>Mid</v>
      </c>
      <c r="K141" t="str">
        <f>VLOOKUP(tblTime[[#This Row],[Agent Name]],Agent_Info!A:C,3,FALSE)</f>
        <v>Team 2</v>
      </c>
      <c r="L141" t="str">
        <f>VLOOKUP(tblTime[[#This Row],[Agent Name]],Agent_Info!A:D,4,FALSE)</f>
        <v>dallas</v>
      </c>
      <c r="M141" t="str">
        <f>VLOOKUP(tblTime[[#This Row],[Agent Name]],Agent_Info!$A:$E,5,FALSE)</f>
        <v>M</v>
      </c>
      <c r="N141">
        <f>SUMIFS(Support_Tickets!J:J, Support_Tickets!B:B, tblTime[[#This Row],[Date]],Support_Tickets!F:F,tblTime[[#This Row],[Agent Name]])</f>
        <v>6.75</v>
      </c>
    </row>
    <row r="142" spans="1:14" x14ac:dyDescent="0.35">
      <c r="A142" t="s">
        <v>25</v>
      </c>
      <c r="B142" s="3">
        <v>45678</v>
      </c>
      <c r="C142">
        <v>8.02</v>
      </c>
      <c r="D142">
        <v>8</v>
      </c>
      <c r="E142">
        <v>0.89</v>
      </c>
      <c r="F142">
        <v>0.02</v>
      </c>
      <c r="G142" s="4">
        <f>tblTime[[#This Row],[Tickets Handled]]/tblTime[[#This Row],[Hours Worked]]</f>
        <v>0.99750623441396513</v>
      </c>
      <c r="H142" s="7">
        <f>(tblTime[[#This Row],[Hours Worked]]-tblTime[[#This Row],[Idle Time (hrs)]])/tblTime[[#This Row],[Hours Worked]]</f>
        <v>0.88902743142144647</v>
      </c>
      <c r="I142" s="4">
        <f>tblTime[[#This Row],[Hours Worked]]-tblTime[[#This Row],[Idle Time (hrs)]]</f>
        <v>7.13</v>
      </c>
      <c r="J142" t="str">
        <f>VLOOKUP(tblTime[[#This Row],[Agent Name]],tblAgents[[#All],[Agent Name]:[Experience Level]],2,FALSE)</f>
        <v>Mid</v>
      </c>
      <c r="K142" t="str">
        <f>VLOOKUP(tblTime[[#This Row],[Agent Name]],Agent_Info!A:C,3,FALSE)</f>
        <v>Team 2</v>
      </c>
      <c r="L142" t="str">
        <f>VLOOKUP(tblTime[[#This Row],[Agent Name]],Agent_Info!A:D,4,FALSE)</f>
        <v>dallas</v>
      </c>
      <c r="M142" t="str">
        <f>VLOOKUP(tblTime[[#This Row],[Agent Name]],Agent_Info!$A:$E,5,FALSE)</f>
        <v>M</v>
      </c>
      <c r="N142">
        <f>SUMIFS(Support_Tickets!J:J, Support_Tickets!B:B, tblTime[[#This Row],[Date]],Support_Tickets!F:F,tblTime[[#This Row],[Agent Name]])</f>
        <v>7.43</v>
      </c>
    </row>
    <row r="143" spans="1:14" x14ac:dyDescent="0.35">
      <c r="A143" t="s">
        <v>41</v>
      </c>
      <c r="B143" s="3">
        <v>45679</v>
      </c>
      <c r="C143">
        <v>6.7</v>
      </c>
      <c r="D143">
        <v>20</v>
      </c>
      <c r="E143">
        <v>0.74</v>
      </c>
      <c r="F143">
        <v>0</v>
      </c>
      <c r="G143" s="4">
        <f>tblTime[[#This Row],[Tickets Handled]]/tblTime[[#This Row],[Hours Worked]]</f>
        <v>2.9850746268656714</v>
      </c>
      <c r="H143" s="7">
        <f>(tblTime[[#This Row],[Hours Worked]]-tblTime[[#This Row],[Idle Time (hrs)]])/tblTime[[#This Row],[Hours Worked]]</f>
        <v>0.88955223880597012</v>
      </c>
      <c r="I143" s="4">
        <f>tblTime[[#This Row],[Hours Worked]]-tblTime[[#This Row],[Idle Time (hrs)]]</f>
        <v>5.96</v>
      </c>
      <c r="J143" t="str">
        <f>VLOOKUP(tblTime[[#This Row],[Agent Name]],tblAgents[[#All],[Agent Name]:[Experience Level]],2,FALSE)</f>
        <v>Junior</v>
      </c>
      <c r="K143" t="str">
        <f>VLOOKUP(tblTime[[#This Row],[Agent Name]],Agent_Info!A:C,3,FALSE)</f>
        <v>Team 1</v>
      </c>
      <c r="L143" t="str">
        <f>VLOOKUP(tblTime[[#This Row],[Agent Name]],Agent_Info!A:D,4,FALSE)</f>
        <v>richmond</v>
      </c>
      <c r="M143" t="str">
        <f>VLOOKUP(tblTime[[#This Row],[Agent Name]],Agent_Info!$A:$E,5,FALSE)</f>
        <v>F</v>
      </c>
      <c r="N143">
        <f>SUMIFS(Support_Tickets!J:J, Support_Tickets!B:B, tblTime[[#This Row],[Date]],Support_Tickets!F:F,tblTime[[#This Row],[Agent Name]])</f>
        <v>0.77</v>
      </c>
    </row>
    <row r="144" spans="1:14" x14ac:dyDescent="0.35">
      <c r="A144" t="s">
        <v>25</v>
      </c>
      <c r="B144" s="3">
        <v>45682</v>
      </c>
      <c r="C144">
        <v>8.48</v>
      </c>
      <c r="D144">
        <v>21</v>
      </c>
      <c r="E144">
        <v>0.89</v>
      </c>
      <c r="F144">
        <v>0.48</v>
      </c>
      <c r="G144" s="4">
        <f>tblTime[[#This Row],[Tickets Handled]]/tblTime[[#This Row],[Hours Worked]]</f>
        <v>2.4764150943396226</v>
      </c>
      <c r="H144" s="7">
        <f>(tblTime[[#This Row],[Hours Worked]]-tblTime[[#This Row],[Idle Time (hrs)]])/tblTime[[#This Row],[Hours Worked]]</f>
        <v>0.89504716981132082</v>
      </c>
      <c r="I144" s="4">
        <f>tblTime[[#This Row],[Hours Worked]]-tblTime[[#This Row],[Idle Time (hrs)]]</f>
        <v>7.5900000000000007</v>
      </c>
      <c r="J144" t="str">
        <f>VLOOKUP(tblTime[[#This Row],[Agent Name]],tblAgents[[#All],[Agent Name]:[Experience Level]],2,FALSE)</f>
        <v>Mid</v>
      </c>
      <c r="K144" t="str">
        <f>VLOOKUP(tblTime[[#This Row],[Agent Name]],Agent_Info!A:C,3,FALSE)</f>
        <v>Team 2</v>
      </c>
      <c r="L144" t="str">
        <f>VLOOKUP(tblTime[[#This Row],[Agent Name]],Agent_Info!A:D,4,FALSE)</f>
        <v>dallas</v>
      </c>
      <c r="M144" t="str">
        <f>VLOOKUP(tblTime[[#This Row],[Agent Name]],Agent_Info!$A:$E,5,FALSE)</f>
        <v>M</v>
      </c>
      <c r="N144">
        <f>SUMIFS(Support_Tickets!J:J, Support_Tickets!B:B, tblTime[[#This Row],[Date]],Support_Tickets!F:F,tblTime[[#This Row],[Agent Name]])</f>
        <v>0</v>
      </c>
    </row>
    <row r="145" spans="1:14" x14ac:dyDescent="0.35">
      <c r="A145" t="s">
        <v>45</v>
      </c>
      <c r="B145" s="3">
        <v>45682</v>
      </c>
      <c r="C145">
        <v>6.53</v>
      </c>
      <c r="D145">
        <v>19</v>
      </c>
      <c r="E145">
        <v>0.68</v>
      </c>
      <c r="F145">
        <v>0</v>
      </c>
      <c r="G145" s="4">
        <f>tblTime[[#This Row],[Tickets Handled]]/tblTime[[#This Row],[Hours Worked]]</f>
        <v>2.9096477794793261</v>
      </c>
      <c r="H145" s="7">
        <f>(tblTime[[#This Row],[Hours Worked]]-tblTime[[#This Row],[Idle Time (hrs)]])/tblTime[[#This Row],[Hours Worked]]</f>
        <v>0.8958652373660031</v>
      </c>
      <c r="I145" s="4">
        <f>tblTime[[#This Row],[Hours Worked]]-tblTime[[#This Row],[Idle Time (hrs)]]</f>
        <v>5.8500000000000005</v>
      </c>
      <c r="J145" t="str">
        <f>VLOOKUP(tblTime[[#This Row],[Agent Name]],tblAgents[[#All],[Agent Name]:[Experience Level]],2,FALSE)</f>
        <v>Junior</v>
      </c>
      <c r="K145" t="str">
        <f>VLOOKUP(tblTime[[#This Row],[Agent Name]],Agent_Info!A:C,3,FALSE)</f>
        <v>Team 1</v>
      </c>
      <c r="L145" t="str">
        <f>VLOOKUP(tblTime[[#This Row],[Agent Name]],Agent_Info!A:D,4,FALSE)</f>
        <v>new york</v>
      </c>
      <c r="M145" t="str">
        <f>VLOOKUP(tblTime[[#This Row],[Agent Name]],Agent_Info!$A:$E,5,FALSE)</f>
        <v>F</v>
      </c>
      <c r="N145">
        <f>SUMIFS(Support_Tickets!J:J, Support_Tickets!B:B, tblTime[[#This Row],[Date]],Support_Tickets!F:F,tblTime[[#This Row],[Agent Name]])</f>
        <v>7.53</v>
      </c>
    </row>
    <row r="146" spans="1:14" x14ac:dyDescent="0.35">
      <c r="A146" t="s">
        <v>45</v>
      </c>
      <c r="B146" s="3">
        <v>45738</v>
      </c>
      <c r="C146">
        <v>6.35</v>
      </c>
      <c r="D146">
        <v>25</v>
      </c>
      <c r="E146">
        <v>0.65</v>
      </c>
      <c r="F146">
        <v>0</v>
      </c>
      <c r="G146" s="4">
        <f>tblTime[[#This Row],[Tickets Handled]]/tblTime[[#This Row],[Hours Worked]]</f>
        <v>3.9370078740157481</v>
      </c>
      <c r="H146" s="7">
        <f>(tblTime[[#This Row],[Hours Worked]]-tblTime[[#This Row],[Idle Time (hrs)]])/tblTime[[#This Row],[Hours Worked]]</f>
        <v>0.89763779527559051</v>
      </c>
      <c r="I146" s="4">
        <f>tblTime[[#This Row],[Hours Worked]]-tblTime[[#This Row],[Idle Time (hrs)]]</f>
        <v>5.6999999999999993</v>
      </c>
      <c r="J146" t="str">
        <f>VLOOKUP(tblTime[[#This Row],[Agent Name]],tblAgents[[#All],[Agent Name]:[Experience Level]],2,FALSE)</f>
        <v>Junior</v>
      </c>
      <c r="K146" t="str">
        <f>VLOOKUP(tblTime[[#This Row],[Agent Name]],Agent_Info!A:C,3,FALSE)</f>
        <v>Team 1</v>
      </c>
      <c r="L146" t="str">
        <f>VLOOKUP(tblTime[[#This Row],[Agent Name]],Agent_Info!A:D,4,FALSE)</f>
        <v>new york</v>
      </c>
      <c r="M146" t="str">
        <f>VLOOKUP(tblTime[[#This Row],[Agent Name]],Agent_Info!$A:$E,5,FALSE)</f>
        <v>F</v>
      </c>
      <c r="N146">
        <f>SUMIFS(Support_Tickets!J:J, Support_Tickets!B:B, tblTime[[#This Row],[Date]],Support_Tickets!F:F,tblTime[[#This Row],[Agent Name]])</f>
        <v>0</v>
      </c>
    </row>
    <row r="147" spans="1:14" x14ac:dyDescent="0.35">
      <c r="A147" t="s">
        <v>25</v>
      </c>
      <c r="B147" s="3">
        <v>45719</v>
      </c>
      <c r="C147">
        <v>9</v>
      </c>
      <c r="D147">
        <v>21</v>
      </c>
      <c r="E147">
        <v>0.92</v>
      </c>
      <c r="F147">
        <v>1</v>
      </c>
      <c r="G147" s="4">
        <f>tblTime[[#This Row],[Tickets Handled]]/tblTime[[#This Row],[Hours Worked]]</f>
        <v>2.3333333333333335</v>
      </c>
      <c r="H147" s="7">
        <f>(tblTime[[#This Row],[Hours Worked]]-tblTime[[#This Row],[Idle Time (hrs)]])/tblTime[[#This Row],[Hours Worked]]</f>
        <v>0.89777777777777779</v>
      </c>
      <c r="I147" s="4">
        <f>tblTime[[#This Row],[Hours Worked]]-tblTime[[#This Row],[Idle Time (hrs)]]</f>
        <v>8.08</v>
      </c>
      <c r="J147" t="str">
        <f>VLOOKUP(tblTime[[#This Row],[Agent Name]],tblAgents[[#All],[Agent Name]:[Experience Level]],2,FALSE)</f>
        <v>Mid</v>
      </c>
      <c r="K147" t="str">
        <f>VLOOKUP(tblTime[[#This Row],[Agent Name]],Agent_Info!A:C,3,FALSE)</f>
        <v>Team 2</v>
      </c>
      <c r="L147" t="str">
        <f>VLOOKUP(tblTime[[#This Row],[Agent Name]],Agent_Info!A:D,4,FALSE)</f>
        <v>dallas</v>
      </c>
      <c r="M147" t="str">
        <f>VLOOKUP(tblTime[[#This Row],[Agent Name]],Agent_Info!$A:$E,5,FALSE)</f>
        <v>M</v>
      </c>
      <c r="N147">
        <f>SUMIFS(Support_Tickets!J:J, Support_Tickets!B:B, tblTime[[#This Row],[Date]],Support_Tickets!F:F,tblTime[[#This Row],[Agent Name]])</f>
        <v>11.07</v>
      </c>
    </row>
    <row r="148" spans="1:14" x14ac:dyDescent="0.35">
      <c r="A148" t="s">
        <v>20</v>
      </c>
      <c r="B148" s="3">
        <v>45703</v>
      </c>
      <c r="C148">
        <v>9.6300000000000008</v>
      </c>
      <c r="D148">
        <v>24</v>
      </c>
      <c r="E148">
        <v>0.97</v>
      </c>
      <c r="F148">
        <v>1.63</v>
      </c>
      <c r="G148" s="4">
        <f>tblTime[[#This Row],[Tickets Handled]]/tblTime[[#This Row],[Hours Worked]]</f>
        <v>2.4922118380062304</v>
      </c>
      <c r="H148" s="7">
        <f>(tblTime[[#This Row],[Hours Worked]]-tblTime[[#This Row],[Idle Time (hrs)]])/tblTime[[#This Row],[Hours Worked]]</f>
        <v>0.89927310488058143</v>
      </c>
      <c r="I148" s="4">
        <f>tblTime[[#This Row],[Hours Worked]]-tblTime[[#This Row],[Idle Time (hrs)]]</f>
        <v>8.66</v>
      </c>
      <c r="J148" t="str">
        <f>VLOOKUP(tblTime[[#This Row],[Agent Name]],tblAgents[[#All],[Agent Name]:[Experience Level]],2,FALSE)</f>
        <v>Junior</v>
      </c>
      <c r="K148" t="str">
        <f>VLOOKUP(tblTime[[#This Row],[Agent Name]],Agent_Info!A:C,3,FALSE)</f>
        <v>Team 2</v>
      </c>
      <c r="L148" t="str">
        <f>VLOOKUP(tblTime[[#This Row],[Agent Name]],Agent_Info!A:D,4,FALSE)</f>
        <v>edison</v>
      </c>
      <c r="M148" t="str">
        <f>VLOOKUP(tblTime[[#This Row],[Agent Name]],Agent_Info!$A:$E,5,FALSE)</f>
        <v>F</v>
      </c>
      <c r="N148">
        <f>SUMIFS(Support_Tickets!J:J, Support_Tickets!B:B, tblTime[[#This Row],[Date]],Support_Tickets!F:F,tblTime[[#This Row],[Agent Name]])</f>
        <v>0</v>
      </c>
    </row>
    <row r="149" spans="1:14" x14ac:dyDescent="0.35">
      <c r="A149" t="s">
        <v>14</v>
      </c>
      <c r="B149" s="3">
        <v>45703</v>
      </c>
      <c r="C149">
        <v>9.01</v>
      </c>
      <c r="D149">
        <v>16</v>
      </c>
      <c r="E149">
        <v>0.9</v>
      </c>
      <c r="F149">
        <v>1.01</v>
      </c>
      <c r="G149" s="4">
        <f>tblTime[[#This Row],[Tickets Handled]]/tblTime[[#This Row],[Hours Worked]]</f>
        <v>1.7758046614872365</v>
      </c>
      <c r="H149" s="7">
        <f>(tblTime[[#This Row],[Hours Worked]]-tblTime[[#This Row],[Idle Time (hrs)]])/tblTime[[#This Row],[Hours Worked]]</f>
        <v>0.90011098779134291</v>
      </c>
      <c r="I149" s="4">
        <f>tblTime[[#This Row],[Hours Worked]]-tblTime[[#This Row],[Idle Time (hrs)]]</f>
        <v>8.11</v>
      </c>
      <c r="J149" t="str">
        <f>VLOOKUP(tblTime[[#This Row],[Agent Name]],tblAgents[[#All],[Agent Name]:[Experience Level]],2,FALSE)</f>
        <v>Senior</v>
      </c>
      <c r="K149" t="str">
        <f>VLOOKUP(tblTime[[#This Row],[Agent Name]],Agent_Info!A:C,3,FALSE)</f>
        <v>Team 2</v>
      </c>
      <c r="L149" t="str">
        <f>VLOOKUP(tblTime[[#This Row],[Agent Name]],Agent_Info!A:D,4,FALSE)</f>
        <v>hillsborough</v>
      </c>
      <c r="M149" t="str">
        <f>VLOOKUP(tblTime[[#This Row],[Agent Name]],Agent_Info!$A:$E,5,FALSE)</f>
        <v>M</v>
      </c>
      <c r="N149">
        <f>SUMIFS(Support_Tickets!J:J, Support_Tickets!B:B, tblTime[[#This Row],[Date]],Support_Tickets!F:F,tblTime[[#This Row],[Agent Name]])</f>
        <v>0</v>
      </c>
    </row>
    <row r="150" spans="1:14" x14ac:dyDescent="0.35">
      <c r="A150" t="s">
        <v>14</v>
      </c>
      <c r="B150" s="3">
        <v>45682</v>
      </c>
      <c r="C150">
        <v>6.71</v>
      </c>
      <c r="D150">
        <v>19</v>
      </c>
      <c r="E150">
        <v>0.67</v>
      </c>
      <c r="F150">
        <v>0</v>
      </c>
      <c r="G150" s="4">
        <f>tblTime[[#This Row],[Tickets Handled]]/tblTime[[#This Row],[Hours Worked]]</f>
        <v>2.8315946348733236</v>
      </c>
      <c r="H150" s="7">
        <f>(tblTime[[#This Row],[Hours Worked]]-tblTime[[#This Row],[Idle Time (hrs)]])/tblTime[[#This Row],[Hours Worked]]</f>
        <v>0.90014903129657231</v>
      </c>
      <c r="I150" s="4">
        <f>tblTime[[#This Row],[Hours Worked]]-tblTime[[#This Row],[Idle Time (hrs)]]</f>
        <v>6.04</v>
      </c>
      <c r="J150" t="str">
        <f>VLOOKUP(tblTime[[#This Row],[Agent Name]],tblAgents[[#All],[Agent Name]:[Experience Level]],2,FALSE)</f>
        <v>Senior</v>
      </c>
      <c r="K150" t="str">
        <f>VLOOKUP(tblTime[[#This Row],[Agent Name]],Agent_Info!A:C,3,FALSE)</f>
        <v>Team 2</v>
      </c>
      <c r="L150" t="str">
        <f>VLOOKUP(tblTime[[#This Row],[Agent Name]],Agent_Info!A:D,4,FALSE)</f>
        <v>hillsborough</v>
      </c>
      <c r="M150" t="str">
        <f>VLOOKUP(tblTime[[#This Row],[Agent Name]],Agent_Info!$A:$E,5,FALSE)</f>
        <v>M</v>
      </c>
      <c r="N150">
        <f>SUMIFS(Support_Tickets!J:J, Support_Tickets!B:B, tblTime[[#This Row],[Date]],Support_Tickets!F:F,tblTime[[#This Row],[Agent Name]])</f>
        <v>0</v>
      </c>
    </row>
    <row r="151" spans="1:14" x14ac:dyDescent="0.35">
      <c r="A151" t="s">
        <v>14</v>
      </c>
      <c r="B151" s="3">
        <v>45665</v>
      </c>
      <c r="C151">
        <v>7.19</v>
      </c>
      <c r="D151">
        <v>13</v>
      </c>
      <c r="E151">
        <v>0.71</v>
      </c>
      <c r="F151">
        <v>0</v>
      </c>
      <c r="G151" s="4">
        <f>tblTime[[#This Row],[Tickets Handled]]/tblTime[[#This Row],[Hours Worked]]</f>
        <v>1.8080667593880388</v>
      </c>
      <c r="H151" s="7">
        <f>(tblTime[[#This Row],[Hours Worked]]-tblTime[[#This Row],[Idle Time (hrs)]])/tblTime[[#This Row],[Hours Worked]]</f>
        <v>0.90125173852573015</v>
      </c>
      <c r="I151" s="4">
        <f>tblTime[[#This Row],[Hours Worked]]-tblTime[[#This Row],[Idle Time (hrs)]]</f>
        <v>6.48</v>
      </c>
      <c r="J151" t="str">
        <f>VLOOKUP(tblTime[[#This Row],[Agent Name]],tblAgents[[#All],[Agent Name]:[Experience Level]],2,FALSE)</f>
        <v>Senior</v>
      </c>
      <c r="K151" t="str">
        <f>VLOOKUP(tblTime[[#This Row],[Agent Name]],Agent_Info!A:C,3,FALSE)</f>
        <v>Team 2</v>
      </c>
      <c r="L151" t="str">
        <f>VLOOKUP(tblTime[[#This Row],[Agent Name]],Agent_Info!A:D,4,FALSE)</f>
        <v>hillsborough</v>
      </c>
      <c r="M151" t="str">
        <f>VLOOKUP(tblTime[[#This Row],[Agent Name]],Agent_Info!$A:$E,5,FALSE)</f>
        <v>M</v>
      </c>
      <c r="N151">
        <f>SUMIFS(Support_Tickets!J:J, Support_Tickets!B:B, tblTime[[#This Row],[Date]],Support_Tickets!F:F,tblTime[[#This Row],[Agent Name]])</f>
        <v>3.03</v>
      </c>
    </row>
    <row r="152" spans="1:14" x14ac:dyDescent="0.35">
      <c r="A152" t="s">
        <v>45</v>
      </c>
      <c r="B152" s="3">
        <v>45668</v>
      </c>
      <c r="C152">
        <v>9.5399999999999991</v>
      </c>
      <c r="D152">
        <v>25</v>
      </c>
      <c r="E152">
        <v>0.94</v>
      </c>
      <c r="F152">
        <v>1.54</v>
      </c>
      <c r="G152" s="4">
        <f>tblTime[[#This Row],[Tickets Handled]]/tblTime[[#This Row],[Hours Worked]]</f>
        <v>2.6205450733752622</v>
      </c>
      <c r="H152" s="7">
        <f>(tblTime[[#This Row],[Hours Worked]]-tblTime[[#This Row],[Idle Time (hrs)]])/tblTime[[#This Row],[Hours Worked]]</f>
        <v>0.90146750524109021</v>
      </c>
      <c r="I152" s="4">
        <f>tblTime[[#This Row],[Hours Worked]]-tblTime[[#This Row],[Idle Time (hrs)]]</f>
        <v>8.6</v>
      </c>
      <c r="J152" t="str">
        <f>VLOOKUP(tblTime[[#This Row],[Agent Name]],tblAgents[[#All],[Agent Name]:[Experience Level]],2,FALSE)</f>
        <v>Junior</v>
      </c>
      <c r="K152" t="str">
        <f>VLOOKUP(tblTime[[#This Row],[Agent Name]],Agent_Info!A:C,3,FALSE)</f>
        <v>Team 1</v>
      </c>
      <c r="L152" t="str">
        <f>VLOOKUP(tblTime[[#This Row],[Agent Name]],Agent_Info!A:D,4,FALSE)</f>
        <v>new york</v>
      </c>
      <c r="M152" t="str">
        <f>VLOOKUP(tblTime[[#This Row],[Agent Name]],Agent_Info!$A:$E,5,FALSE)</f>
        <v>F</v>
      </c>
      <c r="N152">
        <f>SUMIFS(Support_Tickets!J:J, Support_Tickets!B:B, tblTime[[#This Row],[Date]],Support_Tickets!F:F,tblTime[[#This Row],[Agent Name]])</f>
        <v>0</v>
      </c>
    </row>
    <row r="153" spans="1:14" x14ac:dyDescent="0.35">
      <c r="A153" t="s">
        <v>14</v>
      </c>
      <c r="B153" s="3">
        <v>45713</v>
      </c>
      <c r="C153">
        <v>6.86</v>
      </c>
      <c r="D153">
        <v>16</v>
      </c>
      <c r="E153">
        <v>0.64</v>
      </c>
      <c r="F153">
        <v>0</v>
      </c>
      <c r="G153" s="4">
        <f>tblTime[[#This Row],[Tickets Handled]]/tblTime[[#This Row],[Hours Worked]]</f>
        <v>2.3323615160349851</v>
      </c>
      <c r="H153" s="7">
        <f>(tblTime[[#This Row],[Hours Worked]]-tblTime[[#This Row],[Idle Time (hrs)]])/tblTime[[#This Row],[Hours Worked]]</f>
        <v>0.90670553935860065</v>
      </c>
      <c r="I153" s="4">
        <f>tblTime[[#This Row],[Hours Worked]]-tblTime[[#This Row],[Idle Time (hrs)]]</f>
        <v>6.2200000000000006</v>
      </c>
      <c r="J153" t="str">
        <f>VLOOKUP(tblTime[[#This Row],[Agent Name]],tblAgents[[#All],[Agent Name]:[Experience Level]],2,FALSE)</f>
        <v>Senior</v>
      </c>
      <c r="K153" t="str">
        <f>VLOOKUP(tblTime[[#This Row],[Agent Name]],Agent_Info!A:C,3,FALSE)</f>
        <v>Team 2</v>
      </c>
      <c r="L153" t="str">
        <f>VLOOKUP(tblTime[[#This Row],[Agent Name]],Agent_Info!A:D,4,FALSE)</f>
        <v>hillsborough</v>
      </c>
      <c r="M153" t="str">
        <f>VLOOKUP(tblTime[[#This Row],[Agent Name]],Agent_Info!$A:$E,5,FALSE)</f>
        <v>M</v>
      </c>
      <c r="N153">
        <f>SUMIFS(Support_Tickets!J:J, Support_Tickets!B:B, tblTime[[#This Row],[Date]],Support_Tickets!F:F,tblTime[[#This Row],[Agent Name]])</f>
        <v>0</v>
      </c>
    </row>
    <row r="154" spans="1:14" x14ac:dyDescent="0.35">
      <c r="A154" t="s">
        <v>45</v>
      </c>
      <c r="B154" s="3">
        <v>45699</v>
      </c>
      <c r="C154">
        <v>6.18</v>
      </c>
      <c r="D154">
        <v>21</v>
      </c>
      <c r="E154">
        <v>0.56000000000000005</v>
      </c>
      <c r="F154">
        <v>0</v>
      </c>
      <c r="G154" s="4">
        <f>tblTime[[#This Row],[Tickets Handled]]/tblTime[[#This Row],[Hours Worked]]</f>
        <v>3.3980582524271847</v>
      </c>
      <c r="H154" s="7">
        <f>(tblTime[[#This Row],[Hours Worked]]-tblTime[[#This Row],[Idle Time (hrs)]])/tblTime[[#This Row],[Hours Worked]]</f>
        <v>0.90938511326860838</v>
      </c>
      <c r="I154" s="4">
        <f>tblTime[[#This Row],[Hours Worked]]-tblTime[[#This Row],[Idle Time (hrs)]]</f>
        <v>5.6199999999999992</v>
      </c>
      <c r="J154" t="str">
        <f>VLOOKUP(tblTime[[#This Row],[Agent Name]],tblAgents[[#All],[Agent Name]:[Experience Level]],2,FALSE)</f>
        <v>Junior</v>
      </c>
      <c r="K154" t="str">
        <f>VLOOKUP(tblTime[[#This Row],[Agent Name]],Agent_Info!A:C,3,FALSE)</f>
        <v>Team 1</v>
      </c>
      <c r="L154" t="str">
        <f>VLOOKUP(tblTime[[#This Row],[Agent Name]],Agent_Info!A:D,4,FALSE)</f>
        <v>new york</v>
      </c>
      <c r="M154" t="str">
        <f>VLOOKUP(tblTime[[#This Row],[Agent Name]],Agent_Info!$A:$E,5,FALSE)</f>
        <v>F</v>
      </c>
      <c r="N154">
        <f>SUMIFS(Support_Tickets!J:J, Support_Tickets!B:B, tblTime[[#This Row],[Date]],Support_Tickets!F:F,tblTime[[#This Row],[Agent Name]])</f>
        <v>11.61</v>
      </c>
    </row>
    <row r="155" spans="1:14" x14ac:dyDescent="0.35">
      <c r="A155" t="s">
        <v>45</v>
      </c>
      <c r="B155" s="3">
        <v>45675</v>
      </c>
      <c r="C155">
        <v>7.25</v>
      </c>
      <c r="D155">
        <v>23</v>
      </c>
      <c r="E155">
        <v>0.65</v>
      </c>
      <c r="F155">
        <v>0</v>
      </c>
      <c r="G155" s="4">
        <f>tblTime[[#This Row],[Tickets Handled]]/tblTime[[#This Row],[Hours Worked]]</f>
        <v>3.1724137931034484</v>
      </c>
      <c r="H155" s="7">
        <f>(tblTime[[#This Row],[Hours Worked]]-tblTime[[#This Row],[Idle Time (hrs)]])/tblTime[[#This Row],[Hours Worked]]</f>
        <v>0.91034482758620683</v>
      </c>
      <c r="I155" s="4">
        <f>tblTime[[#This Row],[Hours Worked]]-tblTime[[#This Row],[Idle Time (hrs)]]</f>
        <v>6.6</v>
      </c>
      <c r="J155" t="str">
        <f>VLOOKUP(tblTime[[#This Row],[Agent Name]],tblAgents[[#All],[Agent Name]:[Experience Level]],2,FALSE)</f>
        <v>Junior</v>
      </c>
      <c r="K155" t="str">
        <f>VLOOKUP(tblTime[[#This Row],[Agent Name]],Agent_Info!A:C,3,FALSE)</f>
        <v>Team 1</v>
      </c>
      <c r="L155" t="str">
        <f>VLOOKUP(tblTime[[#This Row],[Agent Name]],Agent_Info!A:D,4,FALSE)</f>
        <v>new york</v>
      </c>
      <c r="M155" t="str">
        <f>VLOOKUP(tblTime[[#This Row],[Agent Name]],Agent_Info!$A:$E,5,FALSE)</f>
        <v>F</v>
      </c>
      <c r="N155">
        <f>SUMIFS(Support_Tickets!J:J, Support_Tickets!B:B, tblTime[[#This Row],[Date]],Support_Tickets!F:F,tblTime[[#This Row],[Agent Name]])</f>
        <v>0</v>
      </c>
    </row>
    <row r="156" spans="1:14" x14ac:dyDescent="0.35">
      <c r="A156" t="s">
        <v>20</v>
      </c>
      <c r="B156" s="3">
        <v>45670</v>
      </c>
      <c r="C156">
        <v>7.03</v>
      </c>
      <c r="D156">
        <v>22</v>
      </c>
      <c r="E156">
        <v>0.63</v>
      </c>
      <c r="F156">
        <v>0</v>
      </c>
      <c r="G156" s="4">
        <f>tblTime[[#This Row],[Tickets Handled]]/tblTime[[#This Row],[Hours Worked]]</f>
        <v>3.1294452347083923</v>
      </c>
      <c r="H156" s="7">
        <f>(tblTime[[#This Row],[Hours Worked]]-tblTime[[#This Row],[Idle Time (hrs)]])/tblTime[[#This Row],[Hours Worked]]</f>
        <v>0.91038406827880514</v>
      </c>
      <c r="I156" s="4">
        <f>tblTime[[#This Row],[Hours Worked]]-tblTime[[#This Row],[Idle Time (hrs)]]</f>
        <v>6.4</v>
      </c>
      <c r="J156" t="str">
        <f>VLOOKUP(tblTime[[#This Row],[Agent Name]],tblAgents[[#All],[Agent Name]:[Experience Level]],2,FALSE)</f>
        <v>Junior</v>
      </c>
      <c r="K156" t="str">
        <f>VLOOKUP(tblTime[[#This Row],[Agent Name]],Agent_Info!A:C,3,FALSE)</f>
        <v>Team 2</v>
      </c>
      <c r="L156" t="str">
        <f>VLOOKUP(tblTime[[#This Row],[Agent Name]],Agent_Info!A:D,4,FALSE)</f>
        <v>edison</v>
      </c>
      <c r="M156" t="str">
        <f>VLOOKUP(tblTime[[#This Row],[Agent Name]],Agent_Info!$A:$E,5,FALSE)</f>
        <v>F</v>
      </c>
      <c r="N156">
        <f>SUMIFS(Support_Tickets!J:J, Support_Tickets!B:B, tblTime[[#This Row],[Date]],Support_Tickets!F:F,tblTime[[#This Row],[Agent Name]])</f>
        <v>5.96</v>
      </c>
    </row>
    <row r="157" spans="1:14" x14ac:dyDescent="0.35">
      <c r="A157" t="s">
        <v>25</v>
      </c>
      <c r="B157" s="3">
        <v>45740</v>
      </c>
      <c r="C157">
        <v>6.27</v>
      </c>
      <c r="D157">
        <v>23</v>
      </c>
      <c r="E157">
        <v>0.54</v>
      </c>
      <c r="F157">
        <v>0</v>
      </c>
      <c r="G157" s="4">
        <f>tblTime[[#This Row],[Tickets Handled]]/tblTime[[#This Row],[Hours Worked]]</f>
        <v>3.6682615629984054</v>
      </c>
      <c r="H157" s="7">
        <f>(tblTime[[#This Row],[Hours Worked]]-tblTime[[#This Row],[Idle Time (hrs)]])/tblTime[[#This Row],[Hours Worked]]</f>
        <v>0.9138755980861244</v>
      </c>
      <c r="I157" s="4">
        <f>tblTime[[#This Row],[Hours Worked]]-tblTime[[#This Row],[Idle Time (hrs)]]</f>
        <v>5.7299999999999995</v>
      </c>
      <c r="J157" t="str">
        <f>VLOOKUP(tblTime[[#This Row],[Agent Name]],tblAgents[[#All],[Agent Name]:[Experience Level]],2,FALSE)</f>
        <v>Mid</v>
      </c>
      <c r="K157" t="str">
        <f>VLOOKUP(tblTime[[#This Row],[Agent Name]],Agent_Info!A:C,3,FALSE)</f>
        <v>Team 2</v>
      </c>
      <c r="L157" t="str">
        <f>VLOOKUP(tblTime[[#This Row],[Agent Name]],Agent_Info!A:D,4,FALSE)</f>
        <v>dallas</v>
      </c>
      <c r="M157" t="str">
        <f>VLOOKUP(tblTime[[#This Row],[Agent Name]],Agent_Info!$A:$E,5,FALSE)</f>
        <v>M</v>
      </c>
      <c r="N157">
        <f>SUMIFS(Support_Tickets!J:J, Support_Tickets!B:B, tblTime[[#This Row],[Date]],Support_Tickets!F:F,tblTime[[#This Row],[Agent Name]])</f>
        <v>8.7799999999999994</v>
      </c>
    </row>
    <row r="158" spans="1:14" x14ac:dyDescent="0.35">
      <c r="A158" t="s">
        <v>41</v>
      </c>
      <c r="B158" s="3">
        <v>45706</v>
      </c>
      <c r="C158">
        <v>9.35</v>
      </c>
      <c r="D158">
        <v>9</v>
      </c>
      <c r="E158">
        <v>0.79</v>
      </c>
      <c r="F158">
        <v>1.35</v>
      </c>
      <c r="G158" s="4">
        <f>tblTime[[#This Row],[Tickets Handled]]/tblTime[[#This Row],[Hours Worked]]</f>
        <v>0.96256684491978617</v>
      </c>
      <c r="H158" s="7">
        <f>(tblTime[[#This Row],[Hours Worked]]-tblTime[[#This Row],[Idle Time (hrs)]])/tblTime[[#This Row],[Hours Worked]]</f>
        <v>0.91550802139037424</v>
      </c>
      <c r="I158" s="4">
        <f>tblTime[[#This Row],[Hours Worked]]-tblTime[[#This Row],[Idle Time (hrs)]]</f>
        <v>8.5599999999999987</v>
      </c>
      <c r="J158" t="str">
        <f>VLOOKUP(tblTime[[#This Row],[Agent Name]],tblAgents[[#All],[Agent Name]:[Experience Level]],2,FALSE)</f>
        <v>Junior</v>
      </c>
      <c r="K158" t="str">
        <f>VLOOKUP(tblTime[[#This Row],[Agent Name]],Agent_Info!A:C,3,FALSE)</f>
        <v>Team 1</v>
      </c>
      <c r="L158" t="str">
        <f>VLOOKUP(tblTime[[#This Row],[Agent Name]],Agent_Info!A:D,4,FALSE)</f>
        <v>richmond</v>
      </c>
      <c r="M158" t="str">
        <f>VLOOKUP(tblTime[[#This Row],[Agent Name]],Agent_Info!$A:$E,5,FALSE)</f>
        <v>F</v>
      </c>
      <c r="N158">
        <f>SUMIFS(Support_Tickets!J:J, Support_Tickets!B:B, tblTime[[#This Row],[Date]],Support_Tickets!F:F,tblTime[[#This Row],[Agent Name]])</f>
        <v>0</v>
      </c>
    </row>
    <row r="159" spans="1:14" x14ac:dyDescent="0.35">
      <c r="A159" t="s">
        <v>14</v>
      </c>
      <c r="B159" s="3">
        <v>45726</v>
      </c>
      <c r="C159">
        <v>8.5399999999999991</v>
      </c>
      <c r="D159">
        <v>23</v>
      </c>
      <c r="E159">
        <v>0.69</v>
      </c>
      <c r="F159">
        <v>0.54</v>
      </c>
      <c r="G159" s="4">
        <f>tblTime[[#This Row],[Tickets Handled]]/tblTime[[#This Row],[Hours Worked]]</f>
        <v>2.6932084309133493</v>
      </c>
      <c r="H159" s="7">
        <f>(tblTime[[#This Row],[Hours Worked]]-tblTime[[#This Row],[Idle Time (hrs)]])/tblTime[[#This Row],[Hours Worked]]</f>
        <v>0.91920374707259955</v>
      </c>
      <c r="I159" s="4">
        <f>tblTime[[#This Row],[Hours Worked]]-tblTime[[#This Row],[Idle Time (hrs)]]</f>
        <v>7.85</v>
      </c>
      <c r="J159" t="str">
        <f>VLOOKUP(tblTime[[#This Row],[Agent Name]],tblAgents[[#All],[Agent Name]:[Experience Level]],2,FALSE)</f>
        <v>Senior</v>
      </c>
      <c r="K159" t="str">
        <f>VLOOKUP(tblTime[[#This Row],[Agent Name]],Agent_Info!A:C,3,FALSE)</f>
        <v>Team 2</v>
      </c>
      <c r="L159" t="str">
        <f>VLOOKUP(tblTime[[#This Row],[Agent Name]],Agent_Info!A:D,4,FALSE)</f>
        <v>hillsborough</v>
      </c>
      <c r="M159" t="str">
        <f>VLOOKUP(tblTime[[#This Row],[Agent Name]],Agent_Info!$A:$E,5,FALSE)</f>
        <v>M</v>
      </c>
      <c r="N159">
        <f>SUMIFS(Support_Tickets!J:J, Support_Tickets!B:B, tblTime[[#This Row],[Date]],Support_Tickets!F:F,tblTime[[#This Row],[Agent Name]])</f>
        <v>13.11</v>
      </c>
    </row>
    <row r="160" spans="1:14" x14ac:dyDescent="0.35">
      <c r="A160" t="s">
        <v>20</v>
      </c>
      <c r="B160" s="3">
        <v>45728</v>
      </c>
      <c r="C160">
        <v>9.42</v>
      </c>
      <c r="D160">
        <v>6</v>
      </c>
      <c r="E160">
        <v>0.74</v>
      </c>
      <c r="F160">
        <v>1.42</v>
      </c>
      <c r="G160" s="4">
        <f>tblTime[[#This Row],[Tickets Handled]]/tblTime[[#This Row],[Hours Worked]]</f>
        <v>0.63694267515923564</v>
      </c>
      <c r="H160" s="7">
        <f>(tblTime[[#This Row],[Hours Worked]]-tblTime[[#This Row],[Idle Time (hrs)]])/tblTime[[#This Row],[Hours Worked]]</f>
        <v>0.92144373673036095</v>
      </c>
      <c r="I160" s="4">
        <f>tblTime[[#This Row],[Hours Worked]]-tblTime[[#This Row],[Idle Time (hrs)]]</f>
        <v>8.68</v>
      </c>
      <c r="J160" t="str">
        <f>VLOOKUP(tblTime[[#This Row],[Agent Name]],tblAgents[[#All],[Agent Name]:[Experience Level]],2,FALSE)</f>
        <v>Junior</v>
      </c>
      <c r="K160" t="str">
        <f>VLOOKUP(tblTime[[#This Row],[Agent Name]],Agent_Info!A:C,3,FALSE)</f>
        <v>Team 2</v>
      </c>
      <c r="L160" t="str">
        <f>VLOOKUP(tblTime[[#This Row],[Agent Name]],Agent_Info!A:D,4,FALSE)</f>
        <v>edison</v>
      </c>
      <c r="M160" t="str">
        <f>VLOOKUP(tblTime[[#This Row],[Agent Name]],Agent_Info!$A:$E,5,FALSE)</f>
        <v>F</v>
      </c>
      <c r="N160">
        <f>SUMIFS(Support_Tickets!J:J, Support_Tickets!B:B, tblTime[[#This Row],[Date]],Support_Tickets!F:F,tblTime[[#This Row],[Agent Name]])</f>
        <v>7.3500000000000005</v>
      </c>
    </row>
    <row r="161" spans="1:14" x14ac:dyDescent="0.35">
      <c r="A161" t="s">
        <v>14</v>
      </c>
      <c r="B161" s="3">
        <v>45678</v>
      </c>
      <c r="C161">
        <v>9.06</v>
      </c>
      <c r="D161">
        <v>17</v>
      </c>
      <c r="E161">
        <v>0.68</v>
      </c>
      <c r="F161">
        <v>1.06</v>
      </c>
      <c r="G161" s="4">
        <f>tblTime[[#This Row],[Tickets Handled]]/tblTime[[#This Row],[Hours Worked]]</f>
        <v>1.8763796909492272</v>
      </c>
      <c r="H161" s="7">
        <f>(tblTime[[#This Row],[Hours Worked]]-tblTime[[#This Row],[Idle Time (hrs)]])/tblTime[[#This Row],[Hours Worked]]</f>
        <v>0.92494481236203097</v>
      </c>
      <c r="I161" s="4">
        <f>tblTime[[#This Row],[Hours Worked]]-tblTime[[#This Row],[Idle Time (hrs)]]</f>
        <v>8.3800000000000008</v>
      </c>
      <c r="J161" t="str">
        <f>VLOOKUP(tblTime[[#This Row],[Agent Name]],tblAgents[[#All],[Agent Name]:[Experience Level]],2,FALSE)</f>
        <v>Senior</v>
      </c>
      <c r="K161" t="str">
        <f>VLOOKUP(tblTime[[#This Row],[Agent Name]],Agent_Info!A:C,3,FALSE)</f>
        <v>Team 2</v>
      </c>
      <c r="L161" t="str">
        <f>VLOOKUP(tblTime[[#This Row],[Agent Name]],Agent_Info!A:D,4,FALSE)</f>
        <v>hillsborough</v>
      </c>
      <c r="M161" t="str">
        <f>VLOOKUP(tblTime[[#This Row],[Agent Name]],Agent_Info!$A:$E,5,FALSE)</f>
        <v>M</v>
      </c>
      <c r="N161">
        <f>SUMIFS(Support_Tickets!J:J, Support_Tickets!B:B, tblTime[[#This Row],[Date]],Support_Tickets!F:F,tblTime[[#This Row],[Agent Name]])</f>
        <v>2.85</v>
      </c>
    </row>
    <row r="162" spans="1:14" x14ac:dyDescent="0.35">
      <c r="A162" t="s">
        <v>20</v>
      </c>
      <c r="B162" s="3">
        <v>45674</v>
      </c>
      <c r="C162">
        <v>7.24</v>
      </c>
      <c r="D162">
        <v>20</v>
      </c>
      <c r="E162">
        <v>0.54</v>
      </c>
      <c r="F162">
        <v>0</v>
      </c>
      <c r="G162" s="4">
        <f>tblTime[[#This Row],[Tickets Handled]]/tblTime[[#This Row],[Hours Worked]]</f>
        <v>2.7624309392265194</v>
      </c>
      <c r="H162" s="7">
        <f>(tblTime[[#This Row],[Hours Worked]]-tblTime[[#This Row],[Idle Time (hrs)]])/tblTime[[#This Row],[Hours Worked]]</f>
        <v>0.925414364640884</v>
      </c>
      <c r="I162" s="4">
        <f>tblTime[[#This Row],[Hours Worked]]-tblTime[[#This Row],[Idle Time (hrs)]]</f>
        <v>6.7</v>
      </c>
      <c r="J162" t="str">
        <f>VLOOKUP(tblTime[[#This Row],[Agent Name]],tblAgents[[#All],[Agent Name]:[Experience Level]],2,FALSE)</f>
        <v>Junior</v>
      </c>
      <c r="K162" t="str">
        <f>VLOOKUP(tblTime[[#This Row],[Agent Name]],Agent_Info!A:C,3,FALSE)</f>
        <v>Team 2</v>
      </c>
      <c r="L162" t="str">
        <f>VLOOKUP(tblTime[[#This Row],[Agent Name]],Agent_Info!A:D,4,FALSE)</f>
        <v>edison</v>
      </c>
      <c r="M162" t="str">
        <f>VLOOKUP(tblTime[[#This Row],[Agent Name]],Agent_Info!$A:$E,5,FALSE)</f>
        <v>F</v>
      </c>
      <c r="N162">
        <f>SUMIFS(Support_Tickets!J:J, Support_Tickets!B:B, tblTime[[#This Row],[Date]],Support_Tickets!F:F,tblTime[[#This Row],[Agent Name]])</f>
        <v>15.79</v>
      </c>
    </row>
    <row r="163" spans="1:14" x14ac:dyDescent="0.35">
      <c r="A163" t="s">
        <v>25</v>
      </c>
      <c r="B163" s="3">
        <v>45685</v>
      </c>
      <c r="C163">
        <v>6.37</v>
      </c>
      <c r="D163">
        <v>22</v>
      </c>
      <c r="E163">
        <v>0.47</v>
      </c>
      <c r="F163">
        <v>0</v>
      </c>
      <c r="G163" s="4">
        <f>tblTime[[#This Row],[Tickets Handled]]/tblTime[[#This Row],[Hours Worked]]</f>
        <v>3.4536891679748822</v>
      </c>
      <c r="H163" s="7">
        <f>(tblTime[[#This Row],[Hours Worked]]-tblTime[[#This Row],[Idle Time (hrs)]])/tblTime[[#This Row],[Hours Worked]]</f>
        <v>0.92621664050235486</v>
      </c>
      <c r="I163" s="4">
        <f>tblTime[[#This Row],[Hours Worked]]-tblTime[[#This Row],[Idle Time (hrs)]]</f>
        <v>5.9</v>
      </c>
      <c r="J163" t="str">
        <f>VLOOKUP(tblTime[[#This Row],[Agent Name]],tblAgents[[#All],[Agent Name]:[Experience Level]],2,FALSE)</f>
        <v>Mid</v>
      </c>
      <c r="K163" t="str">
        <f>VLOOKUP(tblTime[[#This Row],[Agent Name]],Agent_Info!A:C,3,FALSE)</f>
        <v>Team 2</v>
      </c>
      <c r="L163" t="str">
        <f>VLOOKUP(tblTime[[#This Row],[Agent Name]],Agent_Info!A:D,4,FALSE)</f>
        <v>dallas</v>
      </c>
      <c r="M163" t="str">
        <f>VLOOKUP(tblTime[[#This Row],[Agent Name]],Agent_Info!$A:$E,5,FALSE)</f>
        <v>M</v>
      </c>
      <c r="N163">
        <f>SUMIFS(Support_Tickets!J:J, Support_Tickets!B:B, tblTime[[#This Row],[Date]],Support_Tickets!F:F,tblTime[[#This Row],[Agent Name]])</f>
        <v>4.96</v>
      </c>
    </row>
    <row r="164" spans="1:14" x14ac:dyDescent="0.35">
      <c r="A164" t="s">
        <v>41</v>
      </c>
      <c r="B164" s="3">
        <v>45667</v>
      </c>
      <c r="C164">
        <v>7.5</v>
      </c>
      <c r="D164">
        <v>13</v>
      </c>
      <c r="E164">
        <v>0.54</v>
      </c>
      <c r="F164">
        <v>0</v>
      </c>
      <c r="G164" s="4">
        <f>tblTime[[#This Row],[Tickets Handled]]/tblTime[[#This Row],[Hours Worked]]</f>
        <v>1.7333333333333334</v>
      </c>
      <c r="H164" s="7">
        <f>(tblTime[[#This Row],[Hours Worked]]-tblTime[[#This Row],[Idle Time (hrs)]])/tblTime[[#This Row],[Hours Worked]]</f>
        <v>0.92800000000000005</v>
      </c>
      <c r="I164" s="4">
        <f>tblTime[[#This Row],[Hours Worked]]-tblTime[[#This Row],[Idle Time (hrs)]]</f>
        <v>6.96</v>
      </c>
      <c r="J164" t="str">
        <f>VLOOKUP(tblTime[[#This Row],[Agent Name]],tblAgents[[#All],[Agent Name]:[Experience Level]],2,FALSE)</f>
        <v>Junior</v>
      </c>
      <c r="K164" t="str">
        <f>VLOOKUP(tblTime[[#This Row],[Agent Name]],Agent_Info!A:C,3,FALSE)</f>
        <v>Team 1</v>
      </c>
      <c r="L164" t="str">
        <f>VLOOKUP(tblTime[[#This Row],[Agent Name]],Agent_Info!A:D,4,FALSE)</f>
        <v>richmond</v>
      </c>
      <c r="M164" t="str">
        <f>VLOOKUP(tblTime[[#This Row],[Agent Name]],Agent_Info!$A:$E,5,FALSE)</f>
        <v>F</v>
      </c>
      <c r="N164">
        <f>SUMIFS(Support_Tickets!J:J, Support_Tickets!B:B, tblTime[[#This Row],[Date]],Support_Tickets!F:F,tblTime[[#This Row],[Agent Name]])</f>
        <v>0</v>
      </c>
    </row>
    <row r="165" spans="1:14" x14ac:dyDescent="0.35">
      <c r="A165" t="s">
        <v>41</v>
      </c>
      <c r="B165" s="3">
        <v>45720</v>
      </c>
      <c r="C165">
        <v>9.5500000000000007</v>
      </c>
      <c r="D165">
        <v>17</v>
      </c>
      <c r="E165">
        <v>0.68</v>
      </c>
      <c r="F165">
        <v>1.55</v>
      </c>
      <c r="G165" s="4">
        <f>tblTime[[#This Row],[Tickets Handled]]/tblTime[[#This Row],[Hours Worked]]</f>
        <v>1.7801047120418847</v>
      </c>
      <c r="H165" s="7">
        <f>(tblTime[[#This Row],[Hours Worked]]-tblTime[[#This Row],[Idle Time (hrs)]])/tblTime[[#This Row],[Hours Worked]]</f>
        <v>0.92879581151832469</v>
      </c>
      <c r="I165" s="4">
        <f>tblTime[[#This Row],[Hours Worked]]-tblTime[[#This Row],[Idle Time (hrs)]]</f>
        <v>8.870000000000001</v>
      </c>
      <c r="J165" t="str">
        <f>VLOOKUP(tblTime[[#This Row],[Agent Name]],tblAgents[[#All],[Agent Name]:[Experience Level]],2,FALSE)</f>
        <v>Junior</v>
      </c>
      <c r="K165" t="str">
        <f>VLOOKUP(tblTime[[#This Row],[Agent Name]],Agent_Info!A:C,3,FALSE)</f>
        <v>Team 1</v>
      </c>
      <c r="L165" t="str">
        <f>VLOOKUP(tblTime[[#This Row],[Agent Name]],Agent_Info!A:D,4,FALSE)</f>
        <v>richmond</v>
      </c>
      <c r="M165" t="str">
        <f>VLOOKUP(tblTime[[#This Row],[Agent Name]],Agent_Info!$A:$E,5,FALSE)</f>
        <v>F</v>
      </c>
      <c r="N165">
        <f>SUMIFS(Support_Tickets!J:J, Support_Tickets!B:B, tblTime[[#This Row],[Date]],Support_Tickets!F:F,tblTime[[#This Row],[Agent Name]])</f>
        <v>1.75</v>
      </c>
    </row>
    <row r="166" spans="1:14" x14ac:dyDescent="0.35">
      <c r="A166" t="s">
        <v>14</v>
      </c>
      <c r="B166" s="3">
        <v>45679</v>
      </c>
      <c r="C166">
        <v>7.88</v>
      </c>
      <c r="D166">
        <v>17</v>
      </c>
      <c r="E166">
        <v>0.54</v>
      </c>
      <c r="F166">
        <v>0</v>
      </c>
      <c r="G166" s="4">
        <f>tblTime[[#This Row],[Tickets Handled]]/tblTime[[#This Row],[Hours Worked]]</f>
        <v>2.1573604060913705</v>
      </c>
      <c r="H166" s="7">
        <f>(tblTime[[#This Row],[Hours Worked]]-tblTime[[#This Row],[Idle Time (hrs)]])/tblTime[[#This Row],[Hours Worked]]</f>
        <v>0.93147208121827407</v>
      </c>
      <c r="I166" s="4">
        <f>tblTime[[#This Row],[Hours Worked]]-tblTime[[#This Row],[Idle Time (hrs)]]</f>
        <v>7.34</v>
      </c>
      <c r="J166" t="str">
        <f>VLOOKUP(tblTime[[#This Row],[Agent Name]],tblAgents[[#All],[Agent Name]:[Experience Level]],2,FALSE)</f>
        <v>Senior</v>
      </c>
      <c r="K166" t="str">
        <f>VLOOKUP(tblTime[[#This Row],[Agent Name]],Agent_Info!A:C,3,FALSE)</f>
        <v>Team 2</v>
      </c>
      <c r="L166" t="str">
        <f>VLOOKUP(tblTime[[#This Row],[Agent Name]],Agent_Info!A:D,4,FALSE)</f>
        <v>hillsborough</v>
      </c>
      <c r="M166" t="str">
        <f>VLOOKUP(tblTime[[#This Row],[Agent Name]],Agent_Info!$A:$E,5,FALSE)</f>
        <v>M</v>
      </c>
      <c r="N166">
        <f>SUMIFS(Support_Tickets!J:J, Support_Tickets!B:B, tblTime[[#This Row],[Date]],Support_Tickets!F:F,tblTime[[#This Row],[Agent Name]])</f>
        <v>0</v>
      </c>
    </row>
    <row r="167" spans="1:14" x14ac:dyDescent="0.35">
      <c r="A167" t="s">
        <v>41</v>
      </c>
      <c r="B167" s="3">
        <v>45730</v>
      </c>
      <c r="C167">
        <v>8.43</v>
      </c>
      <c r="D167">
        <v>14</v>
      </c>
      <c r="E167">
        <v>0.56999999999999995</v>
      </c>
      <c r="F167">
        <v>0.43</v>
      </c>
      <c r="G167" s="4">
        <f>tblTime[[#This Row],[Tickets Handled]]/tblTime[[#This Row],[Hours Worked]]</f>
        <v>1.66073546856465</v>
      </c>
      <c r="H167" s="7">
        <f>(tblTime[[#This Row],[Hours Worked]]-tblTime[[#This Row],[Idle Time (hrs)]])/tblTime[[#This Row],[Hours Worked]]</f>
        <v>0.93238434163701067</v>
      </c>
      <c r="I167" s="4">
        <f>tblTime[[#This Row],[Hours Worked]]-tblTime[[#This Row],[Idle Time (hrs)]]</f>
        <v>7.8599999999999994</v>
      </c>
      <c r="J167" t="str">
        <f>VLOOKUP(tblTime[[#This Row],[Agent Name]],tblAgents[[#All],[Agent Name]:[Experience Level]],2,FALSE)</f>
        <v>Junior</v>
      </c>
      <c r="K167" t="str">
        <f>VLOOKUP(tblTime[[#This Row],[Agent Name]],Agent_Info!A:C,3,FALSE)</f>
        <v>Team 1</v>
      </c>
      <c r="L167" t="str">
        <f>VLOOKUP(tblTime[[#This Row],[Agent Name]],Agent_Info!A:D,4,FALSE)</f>
        <v>richmond</v>
      </c>
      <c r="M167" t="str">
        <f>VLOOKUP(tblTime[[#This Row],[Agent Name]],Agent_Info!$A:$E,5,FALSE)</f>
        <v>F</v>
      </c>
      <c r="N167">
        <f>SUMIFS(Support_Tickets!J:J, Support_Tickets!B:B, tblTime[[#This Row],[Date]],Support_Tickets!F:F,tblTime[[#This Row],[Agent Name]])</f>
        <v>4.12</v>
      </c>
    </row>
    <row r="168" spans="1:14" x14ac:dyDescent="0.35">
      <c r="A168" t="s">
        <v>45</v>
      </c>
      <c r="B168" s="3">
        <v>45739</v>
      </c>
      <c r="C168">
        <v>6.2</v>
      </c>
      <c r="D168">
        <v>20</v>
      </c>
      <c r="E168">
        <v>0.41</v>
      </c>
      <c r="F168">
        <v>0</v>
      </c>
      <c r="G168" s="4">
        <f>tblTime[[#This Row],[Tickets Handled]]/tblTime[[#This Row],[Hours Worked]]</f>
        <v>3.225806451612903</v>
      </c>
      <c r="H168" s="7">
        <f>(tblTime[[#This Row],[Hours Worked]]-tblTime[[#This Row],[Idle Time (hrs)]])/tblTime[[#This Row],[Hours Worked]]</f>
        <v>0.93387096774193545</v>
      </c>
      <c r="I168" s="4">
        <f>tblTime[[#This Row],[Hours Worked]]-tblTime[[#This Row],[Idle Time (hrs)]]</f>
        <v>5.79</v>
      </c>
      <c r="J168" t="str">
        <f>VLOOKUP(tblTime[[#This Row],[Agent Name]],tblAgents[[#All],[Agent Name]:[Experience Level]],2,FALSE)</f>
        <v>Junior</v>
      </c>
      <c r="K168" t="str">
        <f>VLOOKUP(tblTime[[#This Row],[Agent Name]],Agent_Info!A:C,3,FALSE)</f>
        <v>Team 1</v>
      </c>
      <c r="L168" t="str">
        <f>VLOOKUP(tblTime[[#This Row],[Agent Name]],Agent_Info!A:D,4,FALSE)</f>
        <v>new york</v>
      </c>
      <c r="M168" t="str">
        <f>VLOOKUP(tblTime[[#This Row],[Agent Name]],Agent_Info!$A:$E,5,FALSE)</f>
        <v>F</v>
      </c>
      <c r="N168">
        <f>SUMIFS(Support_Tickets!J:J, Support_Tickets!B:B, tblTime[[#This Row],[Date]],Support_Tickets!F:F,tblTime[[#This Row],[Agent Name]])</f>
        <v>0</v>
      </c>
    </row>
    <row r="169" spans="1:14" x14ac:dyDescent="0.35">
      <c r="A169" t="s">
        <v>41</v>
      </c>
      <c r="B169" s="3">
        <v>45718</v>
      </c>
      <c r="C169">
        <v>6.23</v>
      </c>
      <c r="D169">
        <v>21</v>
      </c>
      <c r="E169">
        <v>0.4</v>
      </c>
      <c r="F169">
        <v>0</v>
      </c>
      <c r="G169" s="4">
        <f>tblTime[[#This Row],[Tickets Handled]]/tblTime[[#This Row],[Hours Worked]]</f>
        <v>3.3707865168539324</v>
      </c>
      <c r="H169" s="7">
        <f>(tblTime[[#This Row],[Hours Worked]]-tblTime[[#This Row],[Idle Time (hrs)]])/tblTime[[#This Row],[Hours Worked]]</f>
        <v>0.93579454253611549</v>
      </c>
      <c r="I169" s="4">
        <f>tblTime[[#This Row],[Hours Worked]]-tblTime[[#This Row],[Idle Time (hrs)]]</f>
        <v>5.83</v>
      </c>
      <c r="J169" t="str">
        <f>VLOOKUP(tblTime[[#This Row],[Agent Name]],tblAgents[[#All],[Agent Name]:[Experience Level]],2,FALSE)</f>
        <v>Junior</v>
      </c>
      <c r="K169" t="str">
        <f>VLOOKUP(tblTime[[#This Row],[Agent Name]],Agent_Info!A:C,3,FALSE)</f>
        <v>Team 1</v>
      </c>
      <c r="L169" t="str">
        <f>VLOOKUP(tblTime[[#This Row],[Agent Name]],Agent_Info!A:D,4,FALSE)</f>
        <v>richmond</v>
      </c>
      <c r="M169" t="str">
        <f>VLOOKUP(tblTime[[#This Row],[Agent Name]],Agent_Info!$A:$E,5,FALSE)</f>
        <v>F</v>
      </c>
      <c r="N169">
        <f>SUMIFS(Support_Tickets!J:J, Support_Tickets!B:B, tblTime[[#This Row],[Date]],Support_Tickets!F:F,tblTime[[#This Row],[Agent Name]])</f>
        <v>0</v>
      </c>
    </row>
    <row r="170" spans="1:14" x14ac:dyDescent="0.35">
      <c r="A170" t="s">
        <v>45</v>
      </c>
      <c r="B170" s="3">
        <v>45665</v>
      </c>
      <c r="C170">
        <v>8.0500000000000007</v>
      </c>
      <c r="D170">
        <v>16</v>
      </c>
      <c r="E170">
        <v>0.51</v>
      </c>
      <c r="F170">
        <v>0.05</v>
      </c>
      <c r="G170" s="4">
        <f>tblTime[[#This Row],[Tickets Handled]]/tblTime[[#This Row],[Hours Worked]]</f>
        <v>1.9875776397515525</v>
      </c>
      <c r="H170" s="7">
        <f>(tblTime[[#This Row],[Hours Worked]]-tblTime[[#This Row],[Idle Time (hrs)]])/tblTime[[#This Row],[Hours Worked]]</f>
        <v>0.93664596273291933</v>
      </c>
      <c r="I170" s="4">
        <f>tblTime[[#This Row],[Hours Worked]]-tblTime[[#This Row],[Idle Time (hrs)]]</f>
        <v>7.5400000000000009</v>
      </c>
      <c r="J170" t="str">
        <f>VLOOKUP(tblTime[[#This Row],[Agent Name]],tblAgents[[#All],[Agent Name]:[Experience Level]],2,FALSE)</f>
        <v>Junior</v>
      </c>
      <c r="K170" t="str">
        <f>VLOOKUP(tblTime[[#This Row],[Agent Name]],Agent_Info!A:C,3,FALSE)</f>
        <v>Team 1</v>
      </c>
      <c r="L170" t="str">
        <f>VLOOKUP(tblTime[[#This Row],[Agent Name]],Agent_Info!A:D,4,FALSE)</f>
        <v>new york</v>
      </c>
      <c r="M170" t="str">
        <f>VLOOKUP(tblTime[[#This Row],[Agent Name]],Agent_Info!$A:$E,5,FALSE)</f>
        <v>F</v>
      </c>
      <c r="N170">
        <f>SUMIFS(Support_Tickets!J:J, Support_Tickets!B:B, tblTime[[#This Row],[Date]],Support_Tickets!F:F,tblTime[[#This Row],[Agent Name]])</f>
        <v>4.91</v>
      </c>
    </row>
    <row r="171" spans="1:14" x14ac:dyDescent="0.35">
      <c r="A171" t="s">
        <v>14</v>
      </c>
      <c r="B171" s="3">
        <v>45720</v>
      </c>
      <c r="C171">
        <v>8.4499999999999993</v>
      </c>
      <c r="D171">
        <v>23</v>
      </c>
      <c r="E171">
        <v>0.52</v>
      </c>
      <c r="F171">
        <v>0.45</v>
      </c>
      <c r="G171" s="4">
        <f>tblTime[[#This Row],[Tickets Handled]]/tblTime[[#This Row],[Hours Worked]]</f>
        <v>2.7218934911242605</v>
      </c>
      <c r="H171" s="7">
        <f>(tblTime[[#This Row],[Hours Worked]]-tblTime[[#This Row],[Idle Time (hrs)]])/tblTime[[#This Row],[Hours Worked]]</f>
        <v>0.93846153846153846</v>
      </c>
      <c r="I171" s="4">
        <f>tblTime[[#This Row],[Hours Worked]]-tblTime[[#This Row],[Idle Time (hrs)]]</f>
        <v>7.93</v>
      </c>
      <c r="J171" t="str">
        <f>VLOOKUP(tblTime[[#This Row],[Agent Name]],tblAgents[[#All],[Agent Name]:[Experience Level]],2,FALSE)</f>
        <v>Senior</v>
      </c>
      <c r="K171" t="str">
        <f>VLOOKUP(tblTime[[#This Row],[Agent Name]],Agent_Info!A:C,3,FALSE)</f>
        <v>Team 2</v>
      </c>
      <c r="L171" t="str">
        <f>VLOOKUP(tblTime[[#This Row],[Agent Name]],Agent_Info!A:D,4,FALSE)</f>
        <v>hillsborough</v>
      </c>
      <c r="M171" t="str">
        <f>VLOOKUP(tblTime[[#This Row],[Agent Name]],Agent_Info!$A:$E,5,FALSE)</f>
        <v>M</v>
      </c>
      <c r="N171">
        <f>SUMIFS(Support_Tickets!J:J, Support_Tickets!B:B, tblTime[[#This Row],[Date]],Support_Tickets!F:F,tblTime[[#This Row],[Agent Name]])</f>
        <v>0</v>
      </c>
    </row>
    <row r="172" spans="1:14" x14ac:dyDescent="0.35">
      <c r="A172" t="s">
        <v>14</v>
      </c>
      <c r="B172" s="3">
        <v>45718</v>
      </c>
      <c r="C172">
        <v>9.6300000000000008</v>
      </c>
      <c r="D172">
        <v>22</v>
      </c>
      <c r="E172">
        <v>0.54</v>
      </c>
      <c r="F172">
        <v>1.63</v>
      </c>
      <c r="G172" s="4">
        <f>tblTime[[#This Row],[Tickets Handled]]/tblTime[[#This Row],[Hours Worked]]</f>
        <v>2.2845275181723776</v>
      </c>
      <c r="H172" s="7">
        <f>(tblTime[[#This Row],[Hours Worked]]-tblTime[[#This Row],[Idle Time (hrs)]])/tblTime[[#This Row],[Hours Worked]]</f>
        <v>0.9439252336448597</v>
      </c>
      <c r="I172" s="4">
        <f>tblTime[[#This Row],[Hours Worked]]-tblTime[[#This Row],[Idle Time (hrs)]]</f>
        <v>9.09</v>
      </c>
      <c r="J172" t="str">
        <f>VLOOKUP(tblTime[[#This Row],[Agent Name]],tblAgents[[#All],[Agent Name]:[Experience Level]],2,FALSE)</f>
        <v>Senior</v>
      </c>
      <c r="K172" t="str">
        <f>VLOOKUP(tblTime[[#This Row],[Agent Name]],Agent_Info!A:C,3,FALSE)</f>
        <v>Team 2</v>
      </c>
      <c r="L172" t="str">
        <f>VLOOKUP(tblTime[[#This Row],[Agent Name]],Agent_Info!A:D,4,FALSE)</f>
        <v>hillsborough</v>
      </c>
      <c r="M172" t="str">
        <f>VLOOKUP(tblTime[[#This Row],[Agent Name]],Agent_Info!$A:$E,5,FALSE)</f>
        <v>M</v>
      </c>
      <c r="N172">
        <f>SUMIFS(Support_Tickets!J:J, Support_Tickets!B:B, tblTime[[#This Row],[Date]],Support_Tickets!F:F,tblTime[[#This Row],[Agent Name]])</f>
        <v>6.3</v>
      </c>
    </row>
    <row r="173" spans="1:14" x14ac:dyDescent="0.35">
      <c r="A173" t="s">
        <v>45</v>
      </c>
      <c r="B173" s="3">
        <v>45738</v>
      </c>
      <c r="C173">
        <v>8.25</v>
      </c>
      <c r="D173">
        <v>19</v>
      </c>
      <c r="E173">
        <v>0.43</v>
      </c>
      <c r="F173">
        <v>0.25</v>
      </c>
      <c r="G173" s="4">
        <f>tblTime[[#This Row],[Tickets Handled]]/tblTime[[#This Row],[Hours Worked]]</f>
        <v>2.3030303030303032</v>
      </c>
      <c r="H173" s="7">
        <f>(tblTime[[#This Row],[Hours Worked]]-tblTime[[#This Row],[Idle Time (hrs)]])/tblTime[[#This Row],[Hours Worked]]</f>
        <v>0.94787878787878788</v>
      </c>
      <c r="I173" s="4">
        <f>tblTime[[#This Row],[Hours Worked]]-tblTime[[#This Row],[Idle Time (hrs)]]</f>
        <v>7.82</v>
      </c>
      <c r="J173" t="str">
        <f>VLOOKUP(tblTime[[#This Row],[Agent Name]],tblAgents[[#All],[Agent Name]:[Experience Level]],2,FALSE)</f>
        <v>Junior</v>
      </c>
      <c r="K173" t="str">
        <f>VLOOKUP(tblTime[[#This Row],[Agent Name]],Agent_Info!A:C,3,FALSE)</f>
        <v>Team 1</v>
      </c>
      <c r="L173" t="str">
        <f>VLOOKUP(tblTime[[#This Row],[Agent Name]],Agent_Info!A:D,4,FALSE)</f>
        <v>new york</v>
      </c>
      <c r="M173" t="str">
        <f>VLOOKUP(tblTime[[#This Row],[Agent Name]],Agent_Info!$A:$E,5,FALSE)</f>
        <v>F</v>
      </c>
      <c r="N173">
        <f>SUMIFS(Support_Tickets!J:J, Support_Tickets!B:B, tblTime[[#This Row],[Date]],Support_Tickets!F:F,tblTime[[#This Row],[Agent Name]])</f>
        <v>0</v>
      </c>
    </row>
    <row r="174" spans="1:14" x14ac:dyDescent="0.35">
      <c r="A174" t="s">
        <v>14</v>
      </c>
      <c r="B174" s="3">
        <v>45713</v>
      </c>
      <c r="C174">
        <v>6.13</v>
      </c>
      <c r="D174">
        <v>18</v>
      </c>
      <c r="E174">
        <v>0.31</v>
      </c>
      <c r="F174">
        <v>0</v>
      </c>
      <c r="G174" s="4">
        <f>tblTime[[#This Row],[Tickets Handled]]/tblTime[[#This Row],[Hours Worked]]</f>
        <v>2.9363784665579118</v>
      </c>
      <c r="H174" s="7">
        <f>(tblTime[[#This Row],[Hours Worked]]-tblTime[[#This Row],[Idle Time (hrs)]])/tblTime[[#This Row],[Hours Worked]]</f>
        <v>0.94942903752039154</v>
      </c>
      <c r="I174" s="4">
        <f>tblTime[[#This Row],[Hours Worked]]-tblTime[[#This Row],[Idle Time (hrs)]]</f>
        <v>5.82</v>
      </c>
      <c r="J174" t="str">
        <f>VLOOKUP(tblTime[[#This Row],[Agent Name]],tblAgents[[#All],[Agent Name]:[Experience Level]],2,FALSE)</f>
        <v>Senior</v>
      </c>
      <c r="K174" t="str">
        <f>VLOOKUP(tblTime[[#This Row],[Agent Name]],Agent_Info!A:C,3,FALSE)</f>
        <v>Team 2</v>
      </c>
      <c r="L174" t="str">
        <f>VLOOKUP(tblTime[[#This Row],[Agent Name]],Agent_Info!A:D,4,FALSE)</f>
        <v>hillsborough</v>
      </c>
      <c r="M174" t="str">
        <f>VLOOKUP(tblTime[[#This Row],[Agent Name]],Agent_Info!$A:$E,5,FALSE)</f>
        <v>M</v>
      </c>
      <c r="N174">
        <f>SUMIFS(Support_Tickets!J:J, Support_Tickets!B:B, tblTime[[#This Row],[Date]],Support_Tickets!F:F,tblTime[[#This Row],[Agent Name]])</f>
        <v>0</v>
      </c>
    </row>
    <row r="175" spans="1:14" x14ac:dyDescent="0.35">
      <c r="A175" t="s">
        <v>45</v>
      </c>
      <c r="B175" s="3">
        <v>45689</v>
      </c>
      <c r="C175">
        <v>8.34</v>
      </c>
      <c r="D175">
        <v>5</v>
      </c>
      <c r="E175">
        <v>0.39</v>
      </c>
      <c r="F175">
        <v>0.34</v>
      </c>
      <c r="G175" s="4">
        <f>tblTime[[#This Row],[Tickets Handled]]/tblTime[[#This Row],[Hours Worked]]</f>
        <v>0.59952038369304561</v>
      </c>
      <c r="H175" s="7">
        <f>(tblTime[[#This Row],[Hours Worked]]-tblTime[[#This Row],[Idle Time (hrs)]])/tblTime[[#This Row],[Hours Worked]]</f>
        <v>0.95323741007194251</v>
      </c>
      <c r="I175" s="4">
        <f>tblTime[[#This Row],[Hours Worked]]-tblTime[[#This Row],[Idle Time (hrs)]]</f>
        <v>7.95</v>
      </c>
      <c r="J175" t="str">
        <f>VLOOKUP(tblTime[[#This Row],[Agent Name]],tblAgents[[#All],[Agent Name]:[Experience Level]],2,FALSE)</f>
        <v>Junior</v>
      </c>
      <c r="K175" t="str">
        <f>VLOOKUP(tblTime[[#This Row],[Agent Name]],Agent_Info!A:C,3,FALSE)</f>
        <v>Team 1</v>
      </c>
      <c r="L175" t="str">
        <f>VLOOKUP(tblTime[[#This Row],[Agent Name]],Agent_Info!A:D,4,FALSE)</f>
        <v>new york</v>
      </c>
      <c r="M175" t="str">
        <f>VLOOKUP(tblTime[[#This Row],[Agent Name]],Agent_Info!$A:$E,5,FALSE)</f>
        <v>F</v>
      </c>
      <c r="N175">
        <f>SUMIFS(Support_Tickets!J:J, Support_Tickets!B:B, tblTime[[#This Row],[Date]],Support_Tickets!F:F,tblTime[[#This Row],[Agent Name]])</f>
        <v>9.59</v>
      </c>
    </row>
    <row r="176" spans="1:14" x14ac:dyDescent="0.35">
      <c r="A176" t="s">
        <v>45</v>
      </c>
      <c r="B176" s="3">
        <v>45708</v>
      </c>
      <c r="C176">
        <v>7.04</v>
      </c>
      <c r="D176">
        <v>15</v>
      </c>
      <c r="E176">
        <v>0.32</v>
      </c>
      <c r="F176">
        <v>0</v>
      </c>
      <c r="G176" s="4">
        <f>tblTime[[#This Row],[Tickets Handled]]/tblTime[[#This Row],[Hours Worked]]</f>
        <v>2.1306818181818183</v>
      </c>
      <c r="H176" s="7">
        <f>(tblTime[[#This Row],[Hours Worked]]-tblTime[[#This Row],[Idle Time (hrs)]])/tblTime[[#This Row],[Hours Worked]]</f>
        <v>0.95454545454545447</v>
      </c>
      <c r="I176" s="4">
        <f>tblTime[[#This Row],[Hours Worked]]-tblTime[[#This Row],[Idle Time (hrs)]]</f>
        <v>6.72</v>
      </c>
      <c r="J176" t="str">
        <f>VLOOKUP(tblTime[[#This Row],[Agent Name]],tblAgents[[#All],[Agent Name]:[Experience Level]],2,FALSE)</f>
        <v>Junior</v>
      </c>
      <c r="K176" t="str">
        <f>VLOOKUP(tblTime[[#This Row],[Agent Name]],Agent_Info!A:C,3,FALSE)</f>
        <v>Team 1</v>
      </c>
      <c r="L176" t="str">
        <f>VLOOKUP(tblTime[[#This Row],[Agent Name]],Agent_Info!A:D,4,FALSE)</f>
        <v>new york</v>
      </c>
      <c r="M176" t="str">
        <f>VLOOKUP(tblTime[[#This Row],[Agent Name]],Agent_Info!$A:$E,5,FALSE)</f>
        <v>F</v>
      </c>
      <c r="N176">
        <f>SUMIFS(Support_Tickets!J:J, Support_Tickets!B:B, tblTime[[#This Row],[Date]],Support_Tickets!F:F,tblTime[[#This Row],[Agent Name]])</f>
        <v>6.67</v>
      </c>
    </row>
    <row r="177" spans="1:14" x14ac:dyDescent="0.35">
      <c r="A177" t="s">
        <v>25</v>
      </c>
      <c r="B177" s="3">
        <v>45718</v>
      </c>
      <c r="C177">
        <v>6.78</v>
      </c>
      <c r="D177">
        <v>5</v>
      </c>
      <c r="E177">
        <v>0.28999999999999998</v>
      </c>
      <c r="F177">
        <v>0</v>
      </c>
      <c r="G177" s="4">
        <f>tblTime[[#This Row],[Tickets Handled]]/tblTime[[#This Row],[Hours Worked]]</f>
        <v>0.73746312684365778</v>
      </c>
      <c r="H177" s="7">
        <f>(tblTime[[#This Row],[Hours Worked]]-tblTime[[#This Row],[Idle Time (hrs)]])/tblTime[[#This Row],[Hours Worked]]</f>
        <v>0.95722713864306785</v>
      </c>
      <c r="I177" s="4">
        <f>tblTime[[#This Row],[Hours Worked]]-tblTime[[#This Row],[Idle Time (hrs)]]</f>
        <v>6.49</v>
      </c>
      <c r="J177" t="str">
        <f>VLOOKUP(tblTime[[#This Row],[Agent Name]],tblAgents[[#All],[Agent Name]:[Experience Level]],2,FALSE)</f>
        <v>Mid</v>
      </c>
      <c r="K177" t="str">
        <f>VLOOKUP(tblTime[[#This Row],[Agent Name]],Agent_Info!A:C,3,FALSE)</f>
        <v>Team 2</v>
      </c>
      <c r="L177" t="str">
        <f>VLOOKUP(tblTime[[#This Row],[Agent Name]],Agent_Info!A:D,4,FALSE)</f>
        <v>dallas</v>
      </c>
      <c r="M177" t="str">
        <f>VLOOKUP(tblTime[[#This Row],[Agent Name]],Agent_Info!$A:$E,5,FALSE)</f>
        <v>M</v>
      </c>
      <c r="N177">
        <f>SUMIFS(Support_Tickets!J:J, Support_Tickets!B:B, tblTime[[#This Row],[Date]],Support_Tickets!F:F,tblTime[[#This Row],[Agent Name]])</f>
        <v>1.41</v>
      </c>
    </row>
    <row r="178" spans="1:14" x14ac:dyDescent="0.35">
      <c r="A178" t="s">
        <v>20</v>
      </c>
      <c r="B178" s="3">
        <v>45744</v>
      </c>
      <c r="C178">
        <v>8.7200000000000006</v>
      </c>
      <c r="D178">
        <v>17</v>
      </c>
      <c r="E178">
        <v>0.34</v>
      </c>
      <c r="F178">
        <v>0.72</v>
      </c>
      <c r="G178" s="4">
        <f>tblTime[[#This Row],[Tickets Handled]]/tblTime[[#This Row],[Hours Worked]]</f>
        <v>1.9495412844036695</v>
      </c>
      <c r="H178" s="7">
        <f>(tblTime[[#This Row],[Hours Worked]]-tblTime[[#This Row],[Idle Time (hrs)]])/tblTime[[#This Row],[Hours Worked]]</f>
        <v>0.96100917431192667</v>
      </c>
      <c r="I178" s="4">
        <f>tblTime[[#This Row],[Hours Worked]]-tblTime[[#This Row],[Idle Time (hrs)]]</f>
        <v>8.3800000000000008</v>
      </c>
      <c r="J178" t="str">
        <f>VLOOKUP(tblTime[[#This Row],[Agent Name]],tblAgents[[#All],[Agent Name]:[Experience Level]],2,FALSE)</f>
        <v>Junior</v>
      </c>
      <c r="K178" t="str">
        <f>VLOOKUP(tblTime[[#This Row],[Agent Name]],Agent_Info!A:C,3,FALSE)</f>
        <v>Team 2</v>
      </c>
      <c r="L178" t="str">
        <f>VLOOKUP(tblTime[[#This Row],[Agent Name]],Agent_Info!A:D,4,FALSE)</f>
        <v>edison</v>
      </c>
      <c r="M178" t="str">
        <f>VLOOKUP(tblTime[[#This Row],[Agent Name]],Agent_Info!$A:$E,5,FALSE)</f>
        <v>F</v>
      </c>
      <c r="N178">
        <f>SUMIFS(Support_Tickets!J:J, Support_Tickets!B:B, tblTime[[#This Row],[Date]],Support_Tickets!F:F,tblTime[[#This Row],[Agent Name]])</f>
        <v>0</v>
      </c>
    </row>
    <row r="179" spans="1:14" x14ac:dyDescent="0.35">
      <c r="A179" t="s">
        <v>41</v>
      </c>
      <c r="B179" s="3">
        <v>45699</v>
      </c>
      <c r="C179">
        <v>7.97</v>
      </c>
      <c r="D179">
        <v>12</v>
      </c>
      <c r="E179">
        <v>0.3</v>
      </c>
      <c r="F179">
        <v>0</v>
      </c>
      <c r="G179" s="4">
        <f>tblTime[[#This Row],[Tickets Handled]]/tblTime[[#This Row],[Hours Worked]]</f>
        <v>1.50564617314931</v>
      </c>
      <c r="H179" s="7">
        <f>(tblTime[[#This Row],[Hours Worked]]-tblTime[[#This Row],[Idle Time (hrs)]])/tblTime[[#This Row],[Hours Worked]]</f>
        <v>0.96235884567126728</v>
      </c>
      <c r="I179" s="4">
        <f>tblTime[[#This Row],[Hours Worked]]-tblTime[[#This Row],[Idle Time (hrs)]]</f>
        <v>7.67</v>
      </c>
      <c r="J179" t="str">
        <f>VLOOKUP(tblTime[[#This Row],[Agent Name]],tblAgents[[#All],[Agent Name]:[Experience Level]],2,FALSE)</f>
        <v>Junior</v>
      </c>
      <c r="K179" t="str">
        <f>VLOOKUP(tblTime[[#This Row],[Agent Name]],Agent_Info!A:C,3,FALSE)</f>
        <v>Team 1</v>
      </c>
      <c r="L179" t="str">
        <f>VLOOKUP(tblTime[[#This Row],[Agent Name]],Agent_Info!A:D,4,FALSE)</f>
        <v>richmond</v>
      </c>
      <c r="M179" t="str">
        <f>VLOOKUP(tblTime[[#This Row],[Agent Name]],Agent_Info!$A:$E,5,FALSE)</f>
        <v>F</v>
      </c>
      <c r="N179">
        <f>SUMIFS(Support_Tickets!J:J, Support_Tickets!B:B, tblTime[[#This Row],[Date]],Support_Tickets!F:F,tblTime[[#This Row],[Agent Name]])</f>
        <v>0</v>
      </c>
    </row>
    <row r="180" spans="1:14" x14ac:dyDescent="0.35">
      <c r="A180" t="s">
        <v>41</v>
      </c>
      <c r="B180" s="3">
        <v>45745</v>
      </c>
      <c r="C180">
        <v>8.18</v>
      </c>
      <c r="D180">
        <v>22</v>
      </c>
      <c r="E180">
        <v>0.28999999999999998</v>
      </c>
      <c r="F180">
        <v>0.18</v>
      </c>
      <c r="G180" s="4">
        <f>tblTime[[#This Row],[Tickets Handled]]/tblTime[[#This Row],[Hours Worked]]</f>
        <v>2.6894865525672373</v>
      </c>
      <c r="H180" s="7">
        <f>(tblTime[[#This Row],[Hours Worked]]-tblTime[[#This Row],[Idle Time (hrs)]])/tblTime[[#This Row],[Hours Worked]]</f>
        <v>0.96454767726161372</v>
      </c>
      <c r="I180" s="4">
        <f>tblTime[[#This Row],[Hours Worked]]-tblTime[[#This Row],[Idle Time (hrs)]]</f>
        <v>7.89</v>
      </c>
      <c r="J180" t="str">
        <f>VLOOKUP(tblTime[[#This Row],[Agent Name]],tblAgents[[#All],[Agent Name]:[Experience Level]],2,FALSE)</f>
        <v>Junior</v>
      </c>
      <c r="K180" t="str">
        <f>VLOOKUP(tblTime[[#This Row],[Agent Name]],Agent_Info!A:C,3,FALSE)</f>
        <v>Team 1</v>
      </c>
      <c r="L180" t="str">
        <f>VLOOKUP(tblTime[[#This Row],[Agent Name]],Agent_Info!A:D,4,FALSE)</f>
        <v>richmond</v>
      </c>
      <c r="M180" t="str">
        <f>VLOOKUP(tblTime[[#This Row],[Agent Name]],Agent_Info!$A:$E,5,FALSE)</f>
        <v>F</v>
      </c>
      <c r="N180">
        <f>SUMIFS(Support_Tickets!J:J, Support_Tickets!B:B, tblTime[[#This Row],[Date]],Support_Tickets!F:F,tblTime[[#This Row],[Agent Name]])</f>
        <v>0</v>
      </c>
    </row>
    <row r="181" spans="1:14" x14ac:dyDescent="0.35">
      <c r="A181" t="s">
        <v>45</v>
      </c>
      <c r="B181" s="3">
        <v>45742</v>
      </c>
      <c r="C181">
        <v>8.75</v>
      </c>
      <c r="D181">
        <v>25</v>
      </c>
      <c r="E181">
        <v>0.31</v>
      </c>
      <c r="F181">
        <v>0.75</v>
      </c>
      <c r="G181" s="4">
        <f>tblTime[[#This Row],[Tickets Handled]]/tblTime[[#This Row],[Hours Worked]]</f>
        <v>2.8571428571428572</v>
      </c>
      <c r="H181" s="7">
        <f>(tblTime[[#This Row],[Hours Worked]]-tblTime[[#This Row],[Idle Time (hrs)]])/tblTime[[#This Row],[Hours Worked]]</f>
        <v>0.96457142857142852</v>
      </c>
      <c r="I181" s="4">
        <f>tblTime[[#This Row],[Hours Worked]]-tblTime[[#This Row],[Idle Time (hrs)]]</f>
        <v>8.44</v>
      </c>
      <c r="J181" t="str">
        <f>VLOOKUP(tblTime[[#This Row],[Agent Name]],tblAgents[[#All],[Agent Name]:[Experience Level]],2,FALSE)</f>
        <v>Junior</v>
      </c>
      <c r="K181" t="str">
        <f>VLOOKUP(tblTime[[#This Row],[Agent Name]],Agent_Info!A:C,3,FALSE)</f>
        <v>Team 1</v>
      </c>
      <c r="L181" t="str">
        <f>VLOOKUP(tblTime[[#This Row],[Agent Name]],Agent_Info!A:D,4,FALSE)</f>
        <v>new york</v>
      </c>
      <c r="M181" t="str">
        <f>VLOOKUP(tblTime[[#This Row],[Agent Name]],Agent_Info!$A:$E,5,FALSE)</f>
        <v>F</v>
      </c>
      <c r="N181">
        <f>SUMIFS(Support_Tickets!J:J, Support_Tickets!B:B, tblTime[[#This Row],[Date]],Support_Tickets!F:F,tblTime[[#This Row],[Agent Name]])</f>
        <v>0</v>
      </c>
    </row>
    <row r="182" spans="1:14" x14ac:dyDescent="0.35">
      <c r="A182" t="s">
        <v>41</v>
      </c>
      <c r="B182" s="3">
        <v>45713</v>
      </c>
      <c r="C182">
        <v>7.38</v>
      </c>
      <c r="D182">
        <v>9</v>
      </c>
      <c r="E182">
        <v>0.26</v>
      </c>
      <c r="F182">
        <v>0</v>
      </c>
      <c r="G182" s="4">
        <f>tblTime[[#This Row],[Tickets Handled]]/tblTime[[#This Row],[Hours Worked]]</f>
        <v>1.2195121951219512</v>
      </c>
      <c r="H182" s="7">
        <f>(tblTime[[#This Row],[Hours Worked]]-tblTime[[#This Row],[Idle Time (hrs)]])/tblTime[[#This Row],[Hours Worked]]</f>
        <v>0.964769647696477</v>
      </c>
      <c r="I182" s="4">
        <f>tblTime[[#This Row],[Hours Worked]]-tblTime[[#This Row],[Idle Time (hrs)]]</f>
        <v>7.12</v>
      </c>
      <c r="J182" t="str">
        <f>VLOOKUP(tblTime[[#This Row],[Agent Name]],tblAgents[[#All],[Agent Name]:[Experience Level]],2,FALSE)</f>
        <v>Junior</v>
      </c>
      <c r="K182" t="str">
        <f>VLOOKUP(tblTime[[#This Row],[Agent Name]],Agent_Info!A:C,3,FALSE)</f>
        <v>Team 1</v>
      </c>
      <c r="L182" t="str">
        <f>VLOOKUP(tblTime[[#This Row],[Agent Name]],Agent_Info!A:D,4,FALSE)</f>
        <v>richmond</v>
      </c>
      <c r="M182" t="str">
        <f>VLOOKUP(tblTime[[#This Row],[Agent Name]],Agent_Info!$A:$E,5,FALSE)</f>
        <v>F</v>
      </c>
      <c r="N182">
        <f>SUMIFS(Support_Tickets!J:J, Support_Tickets!B:B, tblTime[[#This Row],[Date]],Support_Tickets!F:F,tblTime[[#This Row],[Agent Name]])</f>
        <v>2.84</v>
      </c>
    </row>
    <row r="183" spans="1:14" x14ac:dyDescent="0.35">
      <c r="A183" t="s">
        <v>45</v>
      </c>
      <c r="B183" s="3">
        <v>45671</v>
      </c>
      <c r="C183">
        <v>8.56</v>
      </c>
      <c r="D183">
        <v>8</v>
      </c>
      <c r="E183">
        <v>0.3</v>
      </c>
      <c r="F183">
        <v>0.56000000000000005</v>
      </c>
      <c r="G183" s="4">
        <f>tblTime[[#This Row],[Tickets Handled]]/tblTime[[#This Row],[Hours Worked]]</f>
        <v>0.93457943925233644</v>
      </c>
      <c r="H183" s="7">
        <f>(tblTime[[#This Row],[Hours Worked]]-tblTime[[#This Row],[Idle Time (hrs)]])/tblTime[[#This Row],[Hours Worked]]</f>
        <v>0.9649532710280373</v>
      </c>
      <c r="I183" s="4">
        <f>tblTime[[#This Row],[Hours Worked]]-tblTime[[#This Row],[Idle Time (hrs)]]</f>
        <v>8.26</v>
      </c>
      <c r="J183" t="str">
        <f>VLOOKUP(tblTime[[#This Row],[Agent Name]],tblAgents[[#All],[Agent Name]:[Experience Level]],2,FALSE)</f>
        <v>Junior</v>
      </c>
      <c r="K183" t="str">
        <f>VLOOKUP(tblTime[[#This Row],[Agent Name]],Agent_Info!A:C,3,FALSE)</f>
        <v>Team 1</v>
      </c>
      <c r="L183" t="str">
        <f>VLOOKUP(tblTime[[#This Row],[Agent Name]],Agent_Info!A:D,4,FALSE)</f>
        <v>new york</v>
      </c>
      <c r="M183" t="str">
        <f>VLOOKUP(tblTime[[#This Row],[Agent Name]],Agent_Info!$A:$E,5,FALSE)</f>
        <v>F</v>
      </c>
      <c r="N183">
        <f>SUMIFS(Support_Tickets!J:J, Support_Tickets!B:B, tblTime[[#This Row],[Date]],Support_Tickets!F:F,tblTime[[#This Row],[Agent Name]])</f>
        <v>0</v>
      </c>
    </row>
    <row r="184" spans="1:14" x14ac:dyDescent="0.35">
      <c r="A184" t="s">
        <v>25</v>
      </c>
      <c r="B184" s="3">
        <v>45692</v>
      </c>
      <c r="C184">
        <v>7.19</v>
      </c>
      <c r="D184">
        <v>22</v>
      </c>
      <c r="E184">
        <v>0.23</v>
      </c>
      <c r="F184">
        <v>0</v>
      </c>
      <c r="G184" s="4">
        <f>tblTime[[#This Row],[Tickets Handled]]/tblTime[[#This Row],[Hours Worked]]</f>
        <v>3.0598052851182196</v>
      </c>
      <c r="H184" s="7">
        <f>(tblTime[[#This Row],[Hours Worked]]-tblTime[[#This Row],[Idle Time (hrs)]])/tblTime[[#This Row],[Hours Worked]]</f>
        <v>0.96801112656467314</v>
      </c>
      <c r="I184" s="4">
        <f>tblTime[[#This Row],[Hours Worked]]-tblTime[[#This Row],[Idle Time (hrs)]]</f>
        <v>6.96</v>
      </c>
      <c r="J184" t="str">
        <f>VLOOKUP(tblTime[[#This Row],[Agent Name]],tblAgents[[#All],[Agent Name]:[Experience Level]],2,FALSE)</f>
        <v>Mid</v>
      </c>
      <c r="K184" t="str">
        <f>VLOOKUP(tblTime[[#This Row],[Agent Name]],Agent_Info!A:C,3,FALSE)</f>
        <v>Team 2</v>
      </c>
      <c r="L184" t="str">
        <f>VLOOKUP(tblTime[[#This Row],[Agent Name]],Agent_Info!A:D,4,FALSE)</f>
        <v>dallas</v>
      </c>
      <c r="M184" t="str">
        <f>VLOOKUP(tblTime[[#This Row],[Agent Name]],Agent_Info!$A:$E,5,FALSE)</f>
        <v>M</v>
      </c>
      <c r="N184">
        <f>SUMIFS(Support_Tickets!J:J, Support_Tickets!B:B, tblTime[[#This Row],[Date]],Support_Tickets!F:F,tblTime[[#This Row],[Agent Name]])</f>
        <v>0</v>
      </c>
    </row>
    <row r="185" spans="1:14" x14ac:dyDescent="0.35">
      <c r="A185" t="s">
        <v>14</v>
      </c>
      <c r="B185" s="3">
        <v>45702</v>
      </c>
      <c r="C185">
        <v>6.19</v>
      </c>
      <c r="D185">
        <v>22</v>
      </c>
      <c r="E185">
        <v>0.18</v>
      </c>
      <c r="F185">
        <v>0</v>
      </c>
      <c r="G185" s="4">
        <f>tblTime[[#This Row],[Tickets Handled]]/tblTime[[#This Row],[Hours Worked]]</f>
        <v>3.5541195476575118</v>
      </c>
      <c r="H185" s="7">
        <f>(tblTime[[#This Row],[Hours Worked]]-tblTime[[#This Row],[Idle Time (hrs)]])/tblTime[[#This Row],[Hours Worked]]</f>
        <v>0.97092084006462043</v>
      </c>
      <c r="I185" s="4">
        <f>tblTime[[#This Row],[Hours Worked]]-tblTime[[#This Row],[Idle Time (hrs)]]</f>
        <v>6.0100000000000007</v>
      </c>
      <c r="J185" t="str">
        <f>VLOOKUP(tblTime[[#This Row],[Agent Name]],tblAgents[[#All],[Agent Name]:[Experience Level]],2,FALSE)</f>
        <v>Senior</v>
      </c>
      <c r="K185" t="str">
        <f>VLOOKUP(tblTime[[#This Row],[Agent Name]],Agent_Info!A:C,3,FALSE)</f>
        <v>Team 2</v>
      </c>
      <c r="L185" t="str">
        <f>VLOOKUP(tblTime[[#This Row],[Agent Name]],Agent_Info!A:D,4,FALSE)</f>
        <v>hillsborough</v>
      </c>
      <c r="M185" t="str">
        <f>VLOOKUP(tblTime[[#This Row],[Agent Name]],Agent_Info!$A:$E,5,FALSE)</f>
        <v>M</v>
      </c>
      <c r="N185">
        <f>SUMIFS(Support_Tickets!J:J, Support_Tickets!B:B, tblTime[[#This Row],[Date]],Support_Tickets!F:F,tblTime[[#This Row],[Agent Name]])</f>
        <v>5.13</v>
      </c>
    </row>
    <row r="186" spans="1:14" x14ac:dyDescent="0.35">
      <c r="A186" t="s">
        <v>45</v>
      </c>
      <c r="B186" s="3">
        <v>45746</v>
      </c>
      <c r="C186">
        <v>6.89</v>
      </c>
      <c r="D186">
        <v>12</v>
      </c>
      <c r="E186">
        <v>0.2</v>
      </c>
      <c r="F186">
        <v>0</v>
      </c>
      <c r="G186" s="4">
        <f>tblTime[[#This Row],[Tickets Handled]]/tblTime[[#This Row],[Hours Worked]]</f>
        <v>1.7416545718432512</v>
      </c>
      <c r="H186" s="7">
        <f>(tblTime[[#This Row],[Hours Worked]]-tblTime[[#This Row],[Idle Time (hrs)]])/tblTime[[#This Row],[Hours Worked]]</f>
        <v>0.97097242380261251</v>
      </c>
      <c r="I186" s="4">
        <f>tblTime[[#This Row],[Hours Worked]]-tblTime[[#This Row],[Idle Time (hrs)]]</f>
        <v>6.6899999999999995</v>
      </c>
      <c r="J186" t="str">
        <f>VLOOKUP(tblTime[[#This Row],[Agent Name]],tblAgents[[#All],[Agent Name]:[Experience Level]],2,FALSE)</f>
        <v>Junior</v>
      </c>
      <c r="K186" t="str">
        <f>VLOOKUP(tblTime[[#This Row],[Agent Name]],Agent_Info!A:C,3,FALSE)</f>
        <v>Team 1</v>
      </c>
      <c r="L186" t="str">
        <f>VLOOKUP(tblTime[[#This Row],[Agent Name]],Agent_Info!A:D,4,FALSE)</f>
        <v>new york</v>
      </c>
      <c r="M186" t="str">
        <f>VLOOKUP(tblTime[[#This Row],[Agent Name]],Agent_Info!$A:$E,5,FALSE)</f>
        <v>F</v>
      </c>
      <c r="N186">
        <f>SUMIFS(Support_Tickets!J:J, Support_Tickets!B:B, tblTime[[#This Row],[Date]],Support_Tickets!F:F,tblTime[[#This Row],[Agent Name]])</f>
        <v>3.72</v>
      </c>
    </row>
    <row r="187" spans="1:14" x14ac:dyDescent="0.35">
      <c r="A187" t="s">
        <v>14</v>
      </c>
      <c r="B187" s="3">
        <v>45664</v>
      </c>
      <c r="C187">
        <v>9.33</v>
      </c>
      <c r="D187">
        <v>13</v>
      </c>
      <c r="E187">
        <v>0.26</v>
      </c>
      <c r="F187">
        <v>1.33</v>
      </c>
      <c r="G187" s="4">
        <f>tblTime[[#This Row],[Tickets Handled]]/tblTime[[#This Row],[Hours Worked]]</f>
        <v>1.3933547695605573</v>
      </c>
      <c r="H187" s="7">
        <f>(tblTime[[#This Row],[Hours Worked]]-tblTime[[#This Row],[Idle Time (hrs)]])/tblTime[[#This Row],[Hours Worked]]</f>
        <v>0.97213290460878887</v>
      </c>
      <c r="I187" s="4">
        <f>tblTime[[#This Row],[Hours Worked]]-tblTime[[#This Row],[Idle Time (hrs)]]</f>
        <v>9.07</v>
      </c>
      <c r="J187" t="str">
        <f>VLOOKUP(tblTime[[#This Row],[Agent Name]],tblAgents[[#All],[Agent Name]:[Experience Level]],2,FALSE)</f>
        <v>Senior</v>
      </c>
      <c r="K187" t="str">
        <f>VLOOKUP(tblTime[[#This Row],[Agent Name]],Agent_Info!A:C,3,FALSE)</f>
        <v>Team 2</v>
      </c>
      <c r="L187" t="str">
        <f>VLOOKUP(tblTime[[#This Row],[Agent Name]],Agent_Info!A:D,4,FALSE)</f>
        <v>hillsborough</v>
      </c>
      <c r="M187" t="str">
        <f>VLOOKUP(tblTime[[#This Row],[Agent Name]],Agent_Info!$A:$E,5,FALSE)</f>
        <v>M</v>
      </c>
      <c r="N187">
        <f>SUMIFS(Support_Tickets!J:J, Support_Tickets!B:B, tblTime[[#This Row],[Date]],Support_Tickets!F:F,tblTime[[#This Row],[Agent Name]])</f>
        <v>0</v>
      </c>
    </row>
    <row r="188" spans="1:14" x14ac:dyDescent="0.35">
      <c r="A188" t="s">
        <v>25</v>
      </c>
      <c r="B188" s="3">
        <v>45717</v>
      </c>
      <c r="C188">
        <v>9.99</v>
      </c>
      <c r="D188">
        <v>20</v>
      </c>
      <c r="E188">
        <v>0.25</v>
      </c>
      <c r="F188">
        <v>1.99</v>
      </c>
      <c r="G188" s="4">
        <f>tblTime[[#This Row],[Tickets Handled]]/tblTime[[#This Row],[Hours Worked]]</f>
        <v>2.0020020020020022</v>
      </c>
      <c r="H188" s="7">
        <f>(tblTime[[#This Row],[Hours Worked]]-tblTime[[#This Row],[Idle Time (hrs)]])/tblTime[[#This Row],[Hours Worked]]</f>
        <v>0.97497497497497498</v>
      </c>
      <c r="I188" s="4">
        <f>tblTime[[#This Row],[Hours Worked]]-tblTime[[#This Row],[Idle Time (hrs)]]</f>
        <v>9.74</v>
      </c>
      <c r="J188" t="str">
        <f>VLOOKUP(tblTime[[#This Row],[Agent Name]],tblAgents[[#All],[Agent Name]:[Experience Level]],2,FALSE)</f>
        <v>Mid</v>
      </c>
      <c r="K188" t="str">
        <f>VLOOKUP(tblTime[[#This Row],[Agent Name]],Agent_Info!A:C,3,FALSE)</f>
        <v>Team 2</v>
      </c>
      <c r="L188" t="str">
        <f>VLOOKUP(tblTime[[#This Row],[Agent Name]],Agent_Info!A:D,4,FALSE)</f>
        <v>dallas</v>
      </c>
      <c r="M188" t="str">
        <f>VLOOKUP(tblTime[[#This Row],[Agent Name]],Agent_Info!$A:$E,5,FALSE)</f>
        <v>M</v>
      </c>
      <c r="N188">
        <f>SUMIFS(Support_Tickets!J:J, Support_Tickets!B:B, tblTime[[#This Row],[Date]],Support_Tickets!F:F,tblTime[[#This Row],[Agent Name]])</f>
        <v>14.69</v>
      </c>
    </row>
    <row r="189" spans="1:14" x14ac:dyDescent="0.35">
      <c r="A189" t="s">
        <v>14</v>
      </c>
      <c r="B189" s="3">
        <v>45744</v>
      </c>
      <c r="C189">
        <v>7.12</v>
      </c>
      <c r="D189">
        <v>22</v>
      </c>
      <c r="E189">
        <v>0.13</v>
      </c>
      <c r="F189">
        <v>0</v>
      </c>
      <c r="G189" s="4">
        <f>tblTime[[#This Row],[Tickets Handled]]/tblTime[[#This Row],[Hours Worked]]</f>
        <v>3.089887640449438</v>
      </c>
      <c r="H189" s="7">
        <f>(tblTime[[#This Row],[Hours Worked]]-tblTime[[#This Row],[Idle Time (hrs)]])/tblTime[[#This Row],[Hours Worked]]</f>
        <v>0.9817415730337079</v>
      </c>
      <c r="I189" s="4">
        <f>tblTime[[#This Row],[Hours Worked]]-tblTime[[#This Row],[Idle Time (hrs)]]</f>
        <v>6.99</v>
      </c>
      <c r="J189" t="str">
        <f>VLOOKUP(tblTime[[#This Row],[Agent Name]],tblAgents[[#All],[Agent Name]:[Experience Level]],2,FALSE)</f>
        <v>Senior</v>
      </c>
      <c r="K189" t="str">
        <f>VLOOKUP(tblTime[[#This Row],[Agent Name]],Agent_Info!A:C,3,FALSE)</f>
        <v>Team 2</v>
      </c>
      <c r="L189" t="str">
        <f>VLOOKUP(tblTime[[#This Row],[Agent Name]],Agent_Info!A:D,4,FALSE)</f>
        <v>hillsborough</v>
      </c>
      <c r="M189" t="str">
        <f>VLOOKUP(tblTime[[#This Row],[Agent Name]],Agent_Info!$A:$E,5,FALSE)</f>
        <v>M</v>
      </c>
      <c r="N189">
        <f>SUMIFS(Support_Tickets!J:J, Support_Tickets!B:B, tblTime[[#This Row],[Date]],Support_Tickets!F:F,tblTime[[#This Row],[Agent Name]])</f>
        <v>0</v>
      </c>
    </row>
    <row r="190" spans="1:14" x14ac:dyDescent="0.35">
      <c r="A190" t="s">
        <v>25</v>
      </c>
      <c r="B190" s="3">
        <v>45735</v>
      </c>
      <c r="C190">
        <v>7.46</v>
      </c>
      <c r="D190">
        <v>17</v>
      </c>
      <c r="E190">
        <v>0.13</v>
      </c>
      <c r="F190">
        <v>0</v>
      </c>
      <c r="G190" s="4">
        <f>tblTime[[#This Row],[Tickets Handled]]/tblTime[[#This Row],[Hours Worked]]</f>
        <v>2.2788203753351208</v>
      </c>
      <c r="H190" s="7">
        <f>(tblTime[[#This Row],[Hours Worked]]-tblTime[[#This Row],[Idle Time (hrs)]])/tblTime[[#This Row],[Hours Worked]]</f>
        <v>0.98257372654155495</v>
      </c>
      <c r="I190" s="4">
        <f>tblTime[[#This Row],[Hours Worked]]-tblTime[[#This Row],[Idle Time (hrs)]]</f>
        <v>7.33</v>
      </c>
      <c r="J190" t="str">
        <f>VLOOKUP(tblTime[[#This Row],[Agent Name]],tblAgents[[#All],[Agent Name]:[Experience Level]],2,FALSE)</f>
        <v>Mid</v>
      </c>
      <c r="K190" t="str">
        <f>VLOOKUP(tblTime[[#This Row],[Agent Name]],Agent_Info!A:C,3,FALSE)</f>
        <v>Team 2</v>
      </c>
      <c r="L190" t="str">
        <f>VLOOKUP(tblTime[[#This Row],[Agent Name]],Agent_Info!A:D,4,FALSE)</f>
        <v>dallas</v>
      </c>
      <c r="M190" t="str">
        <f>VLOOKUP(tblTime[[#This Row],[Agent Name]],Agent_Info!$A:$E,5,FALSE)</f>
        <v>M</v>
      </c>
      <c r="N190">
        <f>SUMIFS(Support_Tickets!J:J, Support_Tickets!B:B, tblTime[[#This Row],[Date]],Support_Tickets!F:F,tblTime[[#This Row],[Agent Name]])</f>
        <v>5.72</v>
      </c>
    </row>
    <row r="191" spans="1:14" x14ac:dyDescent="0.35">
      <c r="A191" t="s">
        <v>41</v>
      </c>
      <c r="B191" s="3">
        <v>45746</v>
      </c>
      <c r="C191">
        <v>9.77</v>
      </c>
      <c r="D191">
        <v>24</v>
      </c>
      <c r="E191">
        <v>0.16</v>
      </c>
      <c r="F191">
        <v>1.77</v>
      </c>
      <c r="G191" s="4">
        <f>tblTime[[#This Row],[Tickets Handled]]/tblTime[[#This Row],[Hours Worked]]</f>
        <v>2.4564994882292734</v>
      </c>
      <c r="H191" s="7">
        <f>(tblTime[[#This Row],[Hours Worked]]-tblTime[[#This Row],[Idle Time (hrs)]])/tblTime[[#This Row],[Hours Worked]]</f>
        <v>0.98362333674513813</v>
      </c>
      <c r="I191" s="4">
        <f>tblTime[[#This Row],[Hours Worked]]-tblTime[[#This Row],[Idle Time (hrs)]]</f>
        <v>9.61</v>
      </c>
      <c r="J191" t="str">
        <f>VLOOKUP(tblTime[[#This Row],[Agent Name]],tblAgents[[#All],[Agent Name]:[Experience Level]],2,FALSE)</f>
        <v>Junior</v>
      </c>
      <c r="K191" t="str">
        <f>VLOOKUP(tblTime[[#This Row],[Agent Name]],Agent_Info!A:C,3,FALSE)</f>
        <v>Team 1</v>
      </c>
      <c r="L191" t="str">
        <f>VLOOKUP(tblTime[[#This Row],[Agent Name]],Agent_Info!A:D,4,FALSE)</f>
        <v>richmond</v>
      </c>
      <c r="M191" t="str">
        <f>VLOOKUP(tblTime[[#This Row],[Agent Name]],Agent_Info!$A:$E,5,FALSE)</f>
        <v>F</v>
      </c>
      <c r="N191">
        <f>SUMIFS(Support_Tickets!J:J, Support_Tickets!B:B, tblTime[[#This Row],[Date]],Support_Tickets!F:F,tblTime[[#This Row],[Agent Name]])</f>
        <v>7.79</v>
      </c>
    </row>
    <row r="192" spans="1:14" x14ac:dyDescent="0.35">
      <c r="A192" t="s">
        <v>20</v>
      </c>
      <c r="B192" s="3">
        <v>45738</v>
      </c>
      <c r="C192">
        <v>9.9700000000000006</v>
      </c>
      <c r="D192">
        <v>10</v>
      </c>
      <c r="E192">
        <v>0.16</v>
      </c>
      <c r="F192">
        <v>1.97</v>
      </c>
      <c r="G192" s="4">
        <f>tblTime[[#This Row],[Tickets Handled]]/tblTime[[#This Row],[Hours Worked]]</f>
        <v>1.0030090270812437</v>
      </c>
      <c r="H192" s="7">
        <f>(tblTime[[#This Row],[Hours Worked]]-tblTime[[#This Row],[Idle Time (hrs)]])/tblTime[[#This Row],[Hours Worked]]</f>
        <v>0.98395185556670006</v>
      </c>
      <c r="I192" s="4">
        <f>tblTime[[#This Row],[Hours Worked]]-tblTime[[#This Row],[Idle Time (hrs)]]</f>
        <v>9.81</v>
      </c>
      <c r="J192" t="str">
        <f>VLOOKUP(tblTime[[#This Row],[Agent Name]],tblAgents[[#All],[Agent Name]:[Experience Level]],2,FALSE)</f>
        <v>Junior</v>
      </c>
      <c r="K192" t="str">
        <f>VLOOKUP(tblTime[[#This Row],[Agent Name]],Agent_Info!A:C,3,FALSE)</f>
        <v>Team 2</v>
      </c>
      <c r="L192" t="str">
        <f>VLOOKUP(tblTime[[#This Row],[Agent Name]],Agent_Info!A:D,4,FALSE)</f>
        <v>edison</v>
      </c>
      <c r="M192" t="str">
        <f>VLOOKUP(tblTime[[#This Row],[Agent Name]],Agent_Info!$A:$E,5,FALSE)</f>
        <v>F</v>
      </c>
      <c r="N192">
        <f>SUMIFS(Support_Tickets!J:J, Support_Tickets!B:B, tblTime[[#This Row],[Date]],Support_Tickets!F:F,tblTime[[#This Row],[Agent Name]])</f>
        <v>0</v>
      </c>
    </row>
    <row r="193" spans="1:14" x14ac:dyDescent="0.35">
      <c r="A193" t="s">
        <v>14</v>
      </c>
      <c r="B193" s="3">
        <v>45686</v>
      </c>
      <c r="C193">
        <v>8.0299999999999994</v>
      </c>
      <c r="D193">
        <v>21</v>
      </c>
      <c r="E193">
        <v>0.12</v>
      </c>
      <c r="F193">
        <v>0.03</v>
      </c>
      <c r="G193" s="4">
        <f>tblTime[[#This Row],[Tickets Handled]]/tblTime[[#This Row],[Hours Worked]]</f>
        <v>2.6151930261519305</v>
      </c>
      <c r="H193" s="7">
        <f>(tblTime[[#This Row],[Hours Worked]]-tblTime[[#This Row],[Idle Time (hrs)]])/tblTime[[#This Row],[Hours Worked]]</f>
        <v>0.98505603985056034</v>
      </c>
      <c r="I193" s="4">
        <f>tblTime[[#This Row],[Hours Worked]]-tblTime[[#This Row],[Idle Time (hrs)]]</f>
        <v>7.9099999999999993</v>
      </c>
      <c r="J193" t="str">
        <f>VLOOKUP(tblTime[[#This Row],[Agent Name]],tblAgents[[#All],[Agent Name]:[Experience Level]],2,FALSE)</f>
        <v>Senior</v>
      </c>
      <c r="K193" t="str">
        <f>VLOOKUP(tblTime[[#This Row],[Agent Name]],Agent_Info!A:C,3,FALSE)</f>
        <v>Team 2</v>
      </c>
      <c r="L193" t="str">
        <f>VLOOKUP(tblTime[[#This Row],[Agent Name]],Agent_Info!A:D,4,FALSE)</f>
        <v>hillsborough</v>
      </c>
      <c r="M193" t="str">
        <f>VLOOKUP(tblTime[[#This Row],[Agent Name]],Agent_Info!$A:$E,5,FALSE)</f>
        <v>M</v>
      </c>
      <c r="N193">
        <f>SUMIFS(Support_Tickets!J:J, Support_Tickets!B:B, tblTime[[#This Row],[Date]],Support_Tickets!F:F,tblTime[[#This Row],[Agent Name]])</f>
        <v>17.98</v>
      </c>
    </row>
    <row r="194" spans="1:14" x14ac:dyDescent="0.35">
      <c r="A194" t="s">
        <v>45</v>
      </c>
      <c r="B194" s="3">
        <v>45748</v>
      </c>
      <c r="C194">
        <v>6.54</v>
      </c>
      <c r="D194">
        <v>25</v>
      </c>
      <c r="E194">
        <v>0.08</v>
      </c>
      <c r="F194">
        <v>0</v>
      </c>
      <c r="G194" s="4">
        <f>tblTime[[#This Row],[Tickets Handled]]/tblTime[[#This Row],[Hours Worked]]</f>
        <v>3.8226299694189603</v>
      </c>
      <c r="H194" s="7">
        <f>(tblTime[[#This Row],[Hours Worked]]-tblTime[[#This Row],[Idle Time (hrs)]])/tblTime[[#This Row],[Hours Worked]]</f>
        <v>0.98776758409785936</v>
      </c>
      <c r="I194" s="4">
        <f>tblTime[[#This Row],[Hours Worked]]-tblTime[[#This Row],[Idle Time (hrs)]]</f>
        <v>6.46</v>
      </c>
      <c r="J194" t="str">
        <f>VLOOKUP(tblTime[[#This Row],[Agent Name]],tblAgents[[#All],[Agent Name]:[Experience Level]],2,FALSE)</f>
        <v>Junior</v>
      </c>
      <c r="K194" t="str">
        <f>VLOOKUP(tblTime[[#This Row],[Agent Name]],Agent_Info!A:C,3,FALSE)</f>
        <v>Team 1</v>
      </c>
      <c r="L194" t="str">
        <f>VLOOKUP(tblTime[[#This Row],[Agent Name]],Agent_Info!A:D,4,FALSE)</f>
        <v>new york</v>
      </c>
      <c r="M194" t="str">
        <f>VLOOKUP(tblTime[[#This Row],[Agent Name]],Agent_Info!$A:$E,5,FALSE)</f>
        <v>F</v>
      </c>
      <c r="N194">
        <f>SUMIFS(Support_Tickets!J:J, Support_Tickets!B:B, tblTime[[#This Row],[Date]],Support_Tickets!F:F,tblTime[[#This Row],[Agent Name]])</f>
        <v>0</v>
      </c>
    </row>
    <row r="195" spans="1:14" x14ac:dyDescent="0.35">
      <c r="A195" t="s">
        <v>41</v>
      </c>
      <c r="B195" s="3">
        <v>45667</v>
      </c>
      <c r="C195">
        <v>7.56</v>
      </c>
      <c r="D195">
        <v>9</v>
      </c>
      <c r="E195">
        <v>0.09</v>
      </c>
      <c r="F195">
        <v>0</v>
      </c>
      <c r="G195" s="4">
        <f>tblTime[[#This Row],[Tickets Handled]]/tblTime[[#This Row],[Hours Worked]]</f>
        <v>1.1904761904761905</v>
      </c>
      <c r="H195" s="7">
        <f>(tblTime[[#This Row],[Hours Worked]]-tblTime[[#This Row],[Idle Time (hrs)]])/tblTime[[#This Row],[Hours Worked]]</f>
        <v>0.98809523809523814</v>
      </c>
      <c r="I195" s="4">
        <f>tblTime[[#This Row],[Hours Worked]]-tblTime[[#This Row],[Idle Time (hrs)]]</f>
        <v>7.47</v>
      </c>
      <c r="J195" t="str">
        <f>VLOOKUP(tblTime[[#This Row],[Agent Name]],tblAgents[[#All],[Agent Name]:[Experience Level]],2,FALSE)</f>
        <v>Junior</v>
      </c>
      <c r="K195" t="str">
        <f>VLOOKUP(tblTime[[#This Row],[Agent Name]],Agent_Info!A:C,3,FALSE)</f>
        <v>Team 1</v>
      </c>
      <c r="L195" t="str">
        <f>VLOOKUP(tblTime[[#This Row],[Agent Name]],Agent_Info!A:D,4,FALSE)</f>
        <v>richmond</v>
      </c>
      <c r="M195" t="str">
        <f>VLOOKUP(tblTime[[#This Row],[Agent Name]],Agent_Info!$A:$E,5,FALSE)</f>
        <v>F</v>
      </c>
      <c r="N195">
        <f>SUMIFS(Support_Tickets!J:J, Support_Tickets!B:B, tblTime[[#This Row],[Date]],Support_Tickets!F:F,tblTime[[#This Row],[Agent Name]])</f>
        <v>0</v>
      </c>
    </row>
    <row r="196" spans="1:14" x14ac:dyDescent="0.35">
      <c r="A196" t="s">
        <v>45</v>
      </c>
      <c r="B196" s="3">
        <v>45734</v>
      </c>
      <c r="C196">
        <v>9.85</v>
      </c>
      <c r="D196">
        <v>9</v>
      </c>
      <c r="E196">
        <v>0.1</v>
      </c>
      <c r="F196">
        <v>1.85</v>
      </c>
      <c r="G196" s="4">
        <f>tblTime[[#This Row],[Tickets Handled]]/tblTime[[#This Row],[Hours Worked]]</f>
        <v>0.91370558375634525</v>
      </c>
      <c r="H196" s="7">
        <f>(tblTime[[#This Row],[Hours Worked]]-tblTime[[#This Row],[Idle Time (hrs)]])/tblTime[[#This Row],[Hours Worked]]</f>
        <v>0.98984771573604069</v>
      </c>
      <c r="I196" s="4">
        <f>tblTime[[#This Row],[Hours Worked]]-tblTime[[#This Row],[Idle Time (hrs)]]</f>
        <v>9.75</v>
      </c>
      <c r="J196" t="str">
        <f>VLOOKUP(tblTime[[#This Row],[Agent Name]],tblAgents[[#All],[Agent Name]:[Experience Level]],2,FALSE)</f>
        <v>Junior</v>
      </c>
      <c r="K196" t="str">
        <f>VLOOKUP(tblTime[[#This Row],[Agent Name]],Agent_Info!A:C,3,FALSE)</f>
        <v>Team 1</v>
      </c>
      <c r="L196" t="str">
        <f>VLOOKUP(tblTime[[#This Row],[Agent Name]],Agent_Info!A:D,4,FALSE)</f>
        <v>new york</v>
      </c>
      <c r="M196" t="str">
        <f>VLOOKUP(tblTime[[#This Row],[Agent Name]],Agent_Info!$A:$E,5,FALSE)</f>
        <v>F</v>
      </c>
      <c r="N196">
        <f>SUMIFS(Support_Tickets!J:J, Support_Tickets!B:B, tblTime[[#This Row],[Date]],Support_Tickets!F:F,tblTime[[#This Row],[Agent Name]])</f>
        <v>3.27</v>
      </c>
    </row>
    <row r="197" spans="1:14" x14ac:dyDescent="0.35">
      <c r="A197" t="s">
        <v>20</v>
      </c>
      <c r="B197" s="3">
        <v>45669</v>
      </c>
      <c r="C197">
        <v>8.35</v>
      </c>
      <c r="D197">
        <v>16</v>
      </c>
      <c r="E197">
        <v>0.08</v>
      </c>
      <c r="F197">
        <v>0.35</v>
      </c>
      <c r="G197" s="4">
        <f>tblTime[[#This Row],[Tickets Handled]]/tblTime[[#This Row],[Hours Worked]]</f>
        <v>1.9161676646706587</v>
      </c>
      <c r="H197" s="7">
        <f>(tblTime[[#This Row],[Hours Worked]]-tblTime[[#This Row],[Idle Time (hrs)]])/tblTime[[#This Row],[Hours Worked]]</f>
        <v>0.99041916167664668</v>
      </c>
      <c r="I197" s="4">
        <f>tblTime[[#This Row],[Hours Worked]]-tblTime[[#This Row],[Idle Time (hrs)]]</f>
        <v>8.27</v>
      </c>
      <c r="J197" t="str">
        <f>VLOOKUP(tblTime[[#This Row],[Agent Name]],tblAgents[[#All],[Agent Name]:[Experience Level]],2,FALSE)</f>
        <v>Junior</v>
      </c>
      <c r="K197" t="str">
        <f>VLOOKUP(tblTime[[#This Row],[Agent Name]],Agent_Info!A:C,3,FALSE)</f>
        <v>Team 2</v>
      </c>
      <c r="L197" t="str">
        <f>VLOOKUP(tblTime[[#This Row],[Agent Name]],Agent_Info!A:D,4,FALSE)</f>
        <v>edison</v>
      </c>
      <c r="M197" t="str">
        <f>VLOOKUP(tblTime[[#This Row],[Agent Name]],Agent_Info!$A:$E,5,FALSE)</f>
        <v>F</v>
      </c>
      <c r="N197">
        <f>SUMIFS(Support_Tickets!J:J, Support_Tickets!B:B, tblTime[[#This Row],[Date]],Support_Tickets!F:F,tblTime[[#This Row],[Agent Name]])</f>
        <v>3.6599999999999997</v>
      </c>
    </row>
    <row r="198" spans="1:14" x14ac:dyDescent="0.35">
      <c r="A198" t="s">
        <v>14</v>
      </c>
      <c r="B198" s="3">
        <v>45726</v>
      </c>
      <c r="C198">
        <v>7.63</v>
      </c>
      <c r="D198">
        <v>9</v>
      </c>
      <c r="E198">
        <v>7.0000000000000007E-2</v>
      </c>
      <c r="F198">
        <v>0</v>
      </c>
      <c r="G198" s="4">
        <f>tblTime[[#This Row],[Tickets Handled]]/tblTime[[#This Row],[Hours Worked]]</f>
        <v>1.1795543905635648</v>
      </c>
      <c r="H198" s="7">
        <f>(tblTime[[#This Row],[Hours Worked]]-tblTime[[#This Row],[Idle Time (hrs)]])/tblTime[[#This Row],[Hours Worked]]</f>
        <v>0.99082568807339444</v>
      </c>
      <c r="I198" s="4">
        <f>tblTime[[#This Row],[Hours Worked]]-tblTime[[#This Row],[Idle Time (hrs)]]</f>
        <v>7.56</v>
      </c>
      <c r="J198" t="str">
        <f>VLOOKUP(tblTime[[#This Row],[Agent Name]],tblAgents[[#All],[Agent Name]:[Experience Level]],2,FALSE)</f>
        <v>Senior</v>
      </c>
      <c r="K198" t="str">
        <f>VLOOKUP(tblTime[[#This Row],[Agent Name]],Agent_Info!A:C,3,FALSE)</f>
        <v>Team 2</v>
      </c>
      <c r="L198" t="str">
        <f>VLOOKUP(tblTime[[#This Row],[Agent Name]],Agent_Info!A:D,4,FALSE)</f>
        <v>hillsborough</v>
      </c>
      <c r="M198" t="str">
        <f>VLOOKUP(tblTime[[#This Row],[Agent Name]],Agent_Info!$A:$E,5,FALSE)</f>
        <v>M</v>
      </c>
      <c r="N198">
        <f>SUMIFS(Support_Tickets!J:J, Support_Tickets!B:B, tblTime[[#This Row],[Date]],Support_Tickets!F:F,tblTime[[#This Row],[Agent Name]])</f>
        <v>13.11</v>
      </c>
    </row>
    <row r="199" spans="1:14" x14ac:dyDescent="0.35">
      <c r="A199" t="s">
        <v>20</v>
      </c>
      <c r="B199" s="3">
        <v>45688</v>
      </c>
      <c r="C199">
        <v>6.52</v>
      </c>
      <c r="D199">
        <v>17</v>
      </c>
      <c r="E199">
        <v>0.05</v>
      </c>
      <c r="F199">
        <v>0</v>
      </c>
      <c r="G199" s="4">
        <f>tblTime[[#This Row],[Tickets Handled]]/tblTime[[#This Row],[Hours Worked]]</f>
        <v>2.6073619631901841</v>
      </c>
      <c r="H199" s="7">
        <f>(tblTime[[#This Row],[Hours Worked]]-tblTime[[#This Row],[Idle Time (hrs)]])/tblTime[[#This Row],[Hours Worked]]</f>
        <v>0.99233128834355833</v>
      </c>
      <c r="I199" s="4">
        <f>tblTime[[#This Row],[Hours Worked]]-tblTime[[#This Row],[Idle Time (hrs)]]</f>
        <v>6.47</v>
      </c>
      <c r="J199" t="str">
        <f>VLOOKUP(tblTime[[#This Row],[Agent Name]],tblAgents[[#All],[Agent Name]:[Experience Level]],2,FALSE)</f>
        <v>Junior</v>
      </c>
      <c r="K199" t="str">
        <f>VLOOKUP(tblTime[[#This Row],[Agent Name]],Agent_Info!A:C,3,FALSE)</f>
        <v>Team 2</v>
      </c>
      <c r="L199" t="str">
        <f>VLOOKUP(tblTime[[#This Row],[Agent Name]],Agent_Info!A:D,4,FALSE)</f>
        <v>edison</v>
      </c>
      <c r="M199" t="str">
        <f>VLOOKUP(tblTime[[#This Row],[Agent Name]],Agent_Info!$A:$E,5,FALSE)</f>
        <v>F</v>
      </c>
      <c r="N199">
        <f>SUMIFS(Support_Tickets!J:J, Support_Tickets!B:B, tblTime[[#This Row],[Date]],Support_Tickets!F:F,tblTime[[#This Row],[Agent Name]])</f>
        <v>5.03</v>
      </c>
    </row>
    <row r="200" spans="1:14" x14ac:dyDescent="0.35">
      <c r="A200" t="s">
        <v>41</v>
      </c>
      <c r="B200" s="3">
        <v>45675</v>
      </c>
      <c r="C200">
        <v>7.53</v>
      </c>
      <c r="D200">
        <v>15</v>
      </c>
      <c r="E200">
        <v>0.05</v>
      </c>
      <c r="F200">
        <v>0</v>
      </c>
      <c r="G200" s="4">
        <f>tblTime[[#This Row],[Tickets Handled]]/tblTime[[#This Row],[Hours Worked]]</f>
        <v>1.9920318725099602</v>
      </c>
      <c r="H200" s="7">
        <f>(tblTime[[#This Row],[Hours Worked]]-tblTime[[#This Row],[Idle Time (hrs)]])/tblTime[[#This Row],[Hours Worked]]</f>
        <v>0.99335989375830014</v>
      </c>
      <c r="I200" s="4">
        <f>tblTime[[#This Row],[Hours Worked]]-tblTime[[#This Row],[Idle Time (hrs)]]</f>
        <v>7.48</v>
      </c>
      <c r="J200" t="str">
        <f>VLOOKUP(tblTime[[#This Row],[Agent Name]],tblAgents[[#All],[Agent Name]:[Experience Level]],2,FALSE)</f>
        <v>Junior</v>
      </c>
      <c r="K200" t="str">
        <f>VLOOKUP(tblTime[[#This Row],[Agent Name]],Agent_Info!A:C,3,FALSE)</f>
        <v>Team 1</v>
      </c>
      <c r="L200" t="str">
        <f>VLOOKUP(tblTime[[#This Row],[Agent Name]],Agent_Info!A:D,4,FALSE)</f>
        <v>richmond</v>
      </c>
      <c r="M200" t="str">
        <f>VLOOKUP(tblTime[[#This Row],[Agent Name]],Agent_Info!$A:$E,5,FALSE)</f>
        <v>F</v>
      </c>
      <c r="N200">
        <f>SUMIFS(Support_Tickets!J:J, Support_Tickets!B:B, tblTime[[#This Row],[Date]],Support_Tickets!F:F,tblTime[[#This Row],[Agent Name]])</f>
        <v>6.31</v>
      </c>
    </row>
    <row r="201" spans="1:14" x14ac:dyDescent="0.35">
      <c r="A201" t="s">
        <v>14</v>
      </c>
      <c r="B201" s="3">
        <v>45747</v>
      </c>
      <c r="C201">
        <v>8.9600000000000009</v>
      </c>
      <c r="D201">
        <v>13</v>
      </c>
      <c r="E201">
        <v>0.04</v>
      </c>
      <c r="F201">
        <v>0.96</v>
      </c>
      <c r="G201" s="4">
        <f>tblTime[[#This Row],[Tickets Handled]]/tblTime[[#This Row],[Hours Worked]]</f>
        <v>1.450892857142857</v>
      </c>
      <c r="H201" s="7">
        <f>(tblTime[[#This Row],[Hours Worked]]-tblTime[[#This Row],[Idle Time (hrs)]])/tblTime[[#This Row],[Hours Worked]]</f>
        <v>0.99553571428571441</v>
      </c>
      <c r="I201" s="4">
        <f>tblTime[[#This Row],[Hours Worked]]-tblTime[[#This Row],[Idle Time (hrs)]]</f>
        <v>8.9200000000000017</v>
      </c>
      <c r="J201" t="str">
        <f>VLOOKUP(tblTime[[#This Row],[Agent Name]],tblAgents[[#All],[Agent Name]:[Experience Level]],2,FALSE)</f>
        <v>Senior</v>
      </c>
      <c r="K201" t="str">
        <f>VLOOKUP(tblTime[[#This Row],[Agent Name]],Agent_Info!A:C,3,FALSE)</f>
        <v>Team 2</v>
      </c>
      <c r="L201" t="str">
        <f>VLOOKUP(tblTime[[#This Row],[Agent Name]],Agent_Info!A:D,4,FALSE)</f>
        <v>hillsborough</v>
      </c>
      <c r="M201" t="str">
        <f>VLOOKUP(tblTime[[#This Row],[Agent Name]],Agent_Info!$A:$E,5,FALSE)</f>
        <v>M</v>
      </c>
      <c r="N201">
        <f>SUMIFS(Support_Tickets!J:J, Support_Tickets!B:B, tblTime[[#This Row],[Date]],Support_Tickets!F:F,tblTime[[#This Row],[Agent Name]])</f>
        <v>2.08</v>
      </c>
    </row>
  </sheetData>
  <conditionalFormatting sqref="H202:H1048576">
    <cfRule type="cellIs" dxfId="9" priority="1" operator="between">
      <formula>53%</formula>
      <formula>0.72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workbookViewId="0">
      <selection activeCell="A2" sqref="A2:XFD2"/>
    </sheetView>
  </sheetViews>
  <sheetFormatPr defaultRowHeight="14.5" x14ac:dyDescent="0.35"/>
  <cols>
    <col min="1" max="1" width="10.36328125" bestFit="1" customWidth="1"/>
    <col min="2" max="2" width="14.1796875" style="3" bestFit="1" customWidth="1"/>
    <col min="3" max="3" width="15" style="3" bestFit="1" customWidth="1"/>
    <col min="4" max="4" width="9.26953125" bestFit="1" customWidth="1"/>
    <col min="5" max="5" width="10.54296875" bestFit="1" customWidth="1"/>
    <col min="6" max="6" width="15.90625" bestFit="1" customWidth="1"/>
    <col min="7" max="7" width="8.6328125" bestFit="1" customWidth="1"/>
    <col min="8" max="8" width="16.26953125" bestFit="1" customWidth="1"/>
    <col min="9" max="9" width="26.90625" bestFit="1" customWidth="1"/>
    <col min="10" max="10" width="24.36328125" bestFit="1" customWidth="1"/>
    <col min="11" max="11" width="21.6328125" bestFit="1" customWidth="1"/>
    <col min="12" max="12" width="9.90625" bestFit="1" customWidth="1"/>
    <col min="13" max="13" width="16.08984375" bestFit="1" customWidth="1"/>
    <col min="14" max="14" width="13" bestFit="1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4" t="s">
        <v>540</v>
      </c>
      <c r="M1" s="14" t="s">
        <v>541</v>
      </c>
      <c r="N1" s="14" t="s">
        <v>542</v>
      </c>
    </row>
    <row r="2" spans="1:14" x14ac:dyDescent="0.35">
      <c r="A2" t="s">
        <v>163</v>
      </c>
      <c r="B2" s="3">
        <v>45661</v>
      </c>
      <c r="C2" s="3">
        <v>45661.082083333327</v>
      </c>
      <c r="D2" t="s">
        <v>23</v>
      </c>
      <c r="E2" t="s">
        <v>40</v>
      </c>
      <c r="F2" t="s">
        <v>20</v>
      </c>
      <c r="G2" t="s">
        <v>15</v>
      </c>
      <c r="H2">
        <v>4</v>
      </c>
      <c r="I2">
        <v>1.97</v>
      </c>
      <c r="J2">
        <v>7.23</v>
      </c>
      <c r="K2">
        <v>1</v>
      </c>
      <c r="L2" t="str">
        <f>IF(tblTickets[[#This Row],[SLA Target (hrs)]]&gt;=tblTickets[[#This Row],[Actual Resolution Time (hrs)]],"Yes","No")</f>
        <v>Yes</v>
      </c>
      <c r="M2">
        <f>(tblTickets[[#This Row],[Resolved Date]]-tblTickets[[#This Row],[Created Date]])*24</f>
        <v>1.969999999855645</v>
      </c>
      <c r="N2" t="str">
        <f>IF(tblTickets[[#This Row],[Customer Satisfaction]]&gt;=4,"Satisfied",IF(tblTickets[[#This Row],[Customer Satisfaction]]=3,"Neutral","Dissatisfied"))</f>
        <v>Dissatisfied</v>
      </c>
    </row>
    <row r="3" spans="1:14" x14ac:dyDescent="0.35">
      <c r="A3" t="s">
        <v>434</v>
      </c>
      <c r="B3" s="3">
        <v>45679</v>
      </c>
      <c r="C3" s="3">
        <v>45679.096666666665</v>
      </c>
      <c r="D3" t="s">
        <v>12</v>
      </c>
      <c r="E3" t="s">
        <v>17</v>
      </c>
      <c r="F3" t="s">
        <v>20</v>
      </c>
      <c r="G3" t="s">
        <v>26</v>
      </c>
      <c r="H3">
        <v>24</v>
      </c>
      <c r="I3">
        <v>2.3199999999999998</v>
      </c>
      <c r="J3">
        <v>6.17</v>
      </c>
      <c r="K3">
        <v>1</v>
      </c>
      <c r="L3" t="str">
        <f>IF(tblTickets[[#This Row],[SLA Target (hrs)]]&gt;=tblTickets[[#This Row],[Actual Resolution Time (hrs)]],"Yes","No")</f>
        <v>Yes</v>
      </c>
      <c r="M3">
        <f>(tblTickets[[#This Row],[Resolved Date]]-tblTickets[[#This Row],[Created Date]])*24</f>
        <v>2.3199999999487773</v>
      </c>
      <c r="N3" t="str">
        <f>IF(tblTickets[[#This Row],[Customer Satisfaction]]&gt;=4,"Satisfied",IF(tblTickets[[#This Row],[Customer Satisfaction]]=3,"Neutral","Dissatisfied"))</f>
        <v>Dissatisfied</v>
      </c>
    </row>
    <row r="4" spans="1:14" x14ac:dyDescent="0.35">
      <c r="A4" t="s">
        <v>207</v>
      </c>
      <c r="B4" s="3">
        <v>45739</v>
      </c>
      <c r="C4" s="3">
        <v>45739.097083333327</v>
      </c>
      <c r="D4" t="s">
        <v>30</v>
      </c>
      <c r="E4" t="s">
        <v>19</v>
      </c>
      <c r="F4" t="s">
        <v>20</v>
      </c>
      <c r="G4" t="s">
        <v>21</v>
      </c>
      <c r="H4">
        <v>24</v>
      </c>
      <c r="I4">
        <v>2.33</v>
      </c>
      <c r="J4">
        <v>5.36</v>
      </c>
      <c r="K4">
        <v>1</v>
      </c>
      <c r="L4" t="str">
        <f>IF(tblTickets[[#This Row],[SLA Target (hrs)]]&gt;=tblTickets[[#This Row],[Actual Resolution Time (hrs)]],"Yes","No")</f>
        <v>Yes</v>
      </c>
      <c r="M4">
        <f>(tblTickets[[#This Row],[Resolved Date]]-tblTickets[[#This Row],[Created Date]])*24</f>
        <v>2.3299999998416752</v>
      </c>
      <c r="N4" t="str">
        <f>IF(tblTickets[[#This Row],[Customer Satisfaction]]&gt;=4,"Satisfied",IF(tblTickets[[#This Row],[Customer Satisfaction]]=3,"Neutral","Dissatisfied"))</f>
        <v>Dissatisfied</v>
      </c>
    </row>
    <row r="5" spans="1:14" x14ac:dyDescent="0.35">
      <c r="A5" t="s">
        <v>197</v>
      </c>
      <c r="B5" s="3">
        <v>45734</v>
      </c>
      <c r="C5" s="3">
        <v>45734.105833333328</v>
      </c>
      <c r="D5" t="s">
        <v>23</v>
      </c>
      <c r="E5" t="s">
        <v>40</v>
      </c>
      <c r="F5" t="s">
        <v>20</v>
      </c>
      <c r="G5" t="s">
        <v>15</v>
      </c>
      <c r="H5">
        <v>24</v>
      </c>
      <c r="I5">
        <v>2.54</v>
      </c>
      <c r="J5">
        <v>0.74</v>
      </c>
      <c r="K5">
        <v>1</v>
      </c>
      <c r="L5" t="str">
        <f>IF(tblTickets[[#This Row],[SLA Target (hrs)]]&gt;=tblTickets[[#This Row],[Actual Resolution Time (hrs)]],"Yes","No")</f>
        <v>Yes</v>
      </c>
      <c r="M5">
        <f>(tblTickets[[#This Row],[Resolved Date]]-tblTickets[[#This Row],[Created Date]])*24</f>
        <v>2.5399999998626299</v>
      </c>
      <c r="N5" t="str">
        <f>IF(tblTickets[[#This Row],[Customer Satisfaction]]&gt;=4,"Satisfied",IF(tblTickets[[#This Row],[Customer Satisfaction]]=3,"Neutral","Dissatisfied"))</f>
        <v>Dissatisfied</v>
      </c>
    </row>
    <row r="6" spans="1:14" x14ac:dyDescent="0.35">
      <c r="A6" t="s">
        <v>128</v>
      </c>
      <c r="B6" s="3">
        <v>45660</v>
      </c>
      <c r="C6" s="3">
        <v>45660.1325</v>
      </c>
      <c r="D6" t="s">
        <v>23</v>
      </c>
      <c r="E6" t="s">
        <v>17</v>
      </c>
      <c r="F6" t="s">
        <v>14</v>
      </c>
      <c r="G6" t="s">
        <v>15</v>
      </c>
      <c r="H6">
        <v>4</v>
      </c>
      <c r="I6">
        <v>3.18</v>
      </c>
      <c r="J6">
        <v>2.56</v>
      </c>
      <c r="K6">
        <v>1</v>
      </c>
      <c r="L6" t="str">
        <f>IF(tblTickets[[#This Row],[SLA Target (hrs)]]&gt;=tblTickets[[#This Row],[Actual Resolution Time (hrs)]],"Yes","No")</f>
        <v>Yes</v>
      </c>
      <c r="M6">
        <f>(tblTickets[[#This Row],[Resolved Date]]-tblTickets[[#This Row],[Created Date]])*24</f>
        <v>3.1799999999930151</v>
      </c>
      <c r="N6" t="str">
        <f>IF(tblTickets[[#This Row],[Customer Satisfaction]]&gt;=4,"Satisfied",IF(tblTickets[[#This Row],[Customer Satisfaction]]=3,"Neutral","Dissatisfied"))</f>
        <v>Dissatisfied</v>
      </c>
    </row>
    <row r="7" spans="1:14" x14ac:dyDescent="0.35">
      <c r="A7" t="s">
        <v>494</v>
      </c>
      <c r="B7" s="3">
        <v>45743</v>
      </c>
      <c r="C7" s="3">
        <v>45743.17291666667</v>
      </c>
      <c r="D7" t="s">
        <v>34</v>
      </c>
      <c r="E7" t="s">
        <v>17</v>
      </c>
      <c r="F7" t="s">
        <v>45</v>
      </c>
      <c r="G7" t="s">
        <v>15</v>
      </c>
      <c r="H7">
        <v>24</v>
      </c>
      <c r="I7">
        <v>4.1500000000000004</v>
      </c>
      <c r="J7">
        <v>7.43</v>
      </c>
      <c r="K7">
        <v>1</v>
      </c>
      <c r="L7" t="str">
        <f>IF(tblTickets[[#This Row],[SLA Target (hrs)]]&gt;=tblTickets[[#This Row],[Actual Resolution Time (hrs)]],"Yes","No")</f>
        <v>Yes</v>
      </c>
      <c r="M7">
        <f>(tblTickets[[#This Row],[Resolved Date]]-tblTickets[[#This Row],[Created Date]])*24</f>
        <v>4.1500000000814907</v>
      </c>
      <c r="N7" t="str">
        <f>IF(tblTickets[[#This Row],[Customer Satisfaction]]&gt;=4,"Satisfied",IF(tblTickets[[#This Row],[Customer Satisfaction]]=3,"Neutral","Dissatisfied"))</f>
        <v>Dissatisfied</v>
      </c>
    </row>
    <row r="8" spans="1:14" x14ac:dyDescent="0.35">
      <c r="A8" t="s">
        <v>359</v>
      </c>
      <c r="B8" s="3">
        <v>45729</v>
      </c>
      <c r="C8" s="3">
        <v>45729.174583333333</v>
      </c>
      <c r="D8" t="s">
        <v>30</v>
      </c>
      <c r="E8" t="s">
        <v>40</v>
      </c>
      <c r="F8" t="s">
        <v>41</v>
      </c>
      <c r="G8" t="s">
        <v>26</v>
      </c>
      <c r="H8">
        <v>24</v>
      </c>
      <c r="I8">
        <v>4.1900000000000004</v>
      </c>
      <c r="J8">
        <v>1.73</v>
      </c>
      <c r="K8">
        <v>1</v>
      </c>
      <c r="L8" t="str">
        <f>IF(tblTickets[[#This Row],[SLA Target (hrs)]]&gt;=tblTickets[[#This Row],[Actual Resolution Time (hrs)]],"Yes","No")</f>
        <v>Yes</v>
      </c>
      <c r="M8">
        <f>(tblTickets[[#This Row],[Resolved Date]]-tblTickets[[#This Row],[Created Date]])*24</f>
        <v>4.1900000000023283</v>
      </c>
      <c r="N8" t="str">
        <f>IF(tblTickets[[#This Row],[Customer Satisfaction]]&gt;=4,"Satisfied",IF(tblTickets[[#This Row],[Customer Satisfaction]]=3,"Neutral","Dissatisfied"))</f>
        <v>Dissatisfied</v>
      </c>
    </row>
    <row r="9" spans="1:14" x14ac:dyDescent="0.35">
      <c r="A9" t="s">
        <v>107</v>
      </c>
      <c r="B9" s="3">
        <v>45692</v>
      </c>
      <c r="C9" s="3">
        <v>45692.181250000001</v>
      </c>
      <c r="D9" t="s">
        <v>12</v>
      </c>
      <c r="E9" t="s">
        <v>19</v>
      </c>
      <c r="F9" t="s">
        <v>14</v>
      </c>
      <c r="G9" t="s">
        <v>21</v>
      </c>
      <c r="H9">
        <v>24</v>
      </c>
      <c r="I9">
        <v>4.3499999999999996</v>
      </c>
      <c r="J9">
        <v>2.78</v>
      </c>
      <c r="K9">
        <v>1</v>
      </c>
      <c r="L9" t="str">
        <f>IF(tblTickets[[#This Row],[SLA Target (hrs)]]&gt;=tblTickets[[#This Row],[Actual Resolution Time (hrs)]],"Yes","No")</f>
        <v>Yes</v>
      </c>
      <c r="M9">
        <f>(tblTickets[[#This Row],[Resolved Date]]-tblTickets[[#This Row],[Created Date]])*24</f>
        <v>4.3500000000349246</v>
      </c>
      <c r="N9" t="str">
        <f>IF(tblTickets[[#This Row],[Customer Satisfaction]]&gt;=4,"Satisfied",IF(tblTickets[[#This Row],[Customer Satisfaction]]=3,"Neutral","Dissatisfied"))</f>
        <v>Dissatisfied</v>
      </c>
    </row>
    <row r="10" spans="1:14" x14ac:dyDescent="0.35">
      <c r="A10" t="s">
        <v>72</v>
      </c>
      <c r="B10" s="3">
        <v>45687</v>
      </c>
      <c r="C10" s="3">
        <v>45687.187916666669</v>
      </c>
      <c r="D10" t="s">
        <v>12</v>
      </c>
      <c r="E10" t="s">
        <v>19</v>
      </c>
      <c r="F10" t="s">
        <v>25</v>
      </c>
      <c r="G10" t="s">
        <v>21</v>
      </c>
      <c r="H10">
        <v>8</v>
      </c>
      <c r="I10">
        <v>4.51</v>
      </c>
      <c r="J10">
        <v>7.12</v>
      </c>
      <c r="K10">
        <v>1</v>
      </c>
      <c r="L10" t="str">
        <f>IF(tblTickets[[#This Row],[SLA Target (hrs)]]&gt;=tblTickets[[#This Row],[Actual Resolution Time (hrs)]],"Yes","No")</f>
        <v>Yes</v>
      </c>
      <c r="M10">
        <f>(tblTickets[[#This Row],[Resolved Date]]-tblTickets[[#This Row],[Created Date]])*24</f>
        <v>4.5100000000675209</v>
      </c>
      <c r="N10" t="str">
        <f>IF(tblTickets[[#This Row],[Customer Satisfaction]]&gt;=4,"Satisfied",IF(tblTickets[[#This Row],[Customer Satisfaction]]=3,"Neutral","Dissatisfied"))</f>
        <v>Dissatisfied</v>
      </c>
    </row>
    <row r="11" spans="1:14" x14ac:dyDescent="0.35">
      <c r="A11" t="s">
        <v>62</v>
      </c>
      <c r="B11" s="3">
        <v>45682</v>
      </c>
      <c r="C11" s="3">
        <v>45682.200833333343</v>
      </c>
      <c r="D11" t="s">
        <v>12</v>
      </c>
      <c r="E11" t="s">
        <v>17</v>
      </c>
      <c r="F11" t="s">
        <v>45</v>
      </c>
      <c r="G11" t="s">
        <v>15</v>
      </c>
      <c r="H11">
        <v>8</v>
      </c>
      <c r="I11">
        <v>4.82</v>
      </c>
      <c r="J11">
        <v>7.53</v>
      </c>
      <c r="K11">
        <v>1</v>
      </c>
      <c r="L11" t="str">
        <f>IF(tblTickets[[#This Row],[SLA Target (hrs)]]&gt;=tblTickets[[#This Row],[Actual Resolution Time (hrs)]],"Yes","No")</f>
        <v>Yes</v>
      </c>
      <c r="M11">
        <f>(tblTickets[[#This Row],[Resolved Date]]-tblTickets[[#This Row],[Created Date]])*24</f>
        <v>4.8200000002398156</v>
      </c>
      <c r="N11" t="str">
        <f>IF(tblTickets[[#This Row],[Customer Satisfaction]]&gt;=4,"Satisfied",IF(tblTickets[[#This Row],[Customer Satisfaction]]=3,"Neutral","Dissatisfied"))</f>
        <v>Dissatisfied</v>
      </c>
    </row>
    <row r="12" spans="1:14" x14ac:dyDescent="0.35">
      <c r="A12" t="s">
        <v>67</v>
      </c>
      <c r="B12" s="3">
        <v>45683</v>
      </c>
      <c r="C12" s="3">
        <v>45683.304583333331</v>
      </c>
      <c r="D12" t="s">
        <v>34</v>
      </c>
      <c r="E12" t="s">
        <v>40</v>
      </c>
      <c r="F12" t="s">
        <v>14</v>
      </c>
      <c r="G12" t="s">
        <v>15</v>
      </c>
      <c r="H12">
        <v>24</v>
      </c>
      <c r="I12">
        <v>7.31</v>
      </c>
      <c r="J12">
        <v>4.74</v>
      </c>
      <c r="K12">
        <v>1</v>
      </c>
      <c r="L12" t="str">
        <f>IF(tblTickets[[#This Row],[SLA Target (hrs)]]&gt;=tblTickets[[#This Row],[Actual Resolution Time (hrs)]],"Yes","No")</f>
        <v>Yes</v>
      </c>
      <c r="M12">
        <f>(tblTickets[[#This Row],[Resolved Date]]-tblTickets[[#This Row],[Created Date]])*24</f>
        <v>7.309999999939464</v>
      </c>
      <c r="N12" t="str">
        <f>IF(tblTickets[[#This Row],[Customer Satisfaction]]&gt;=4,"Satisfied",IF(tblTickets[[#This Row],[Customer Satisfaction]]=3,"Neutral","Dissatisfied"))</f>
        <v>Dissatisfied</v>
      </c>
    </row>
    <row r="13" spans="1:14" x14ac:dyDescent="0.35">
      <c r="A13" t="s">
        <v>363</v>
      </c>
      <c r="B13" s="3">
        <v>45665</v>
      </c>
      <c r="C13" s="3">
        <v>45665.400416666656</v>
      </c>
      <c r="D13" t="s">
        <v>23</v>
      </c>
      <c r="E13" t="s">
        <v>13</v>
      </c>
      <c r="F13" t="s">
        <v>45</v>
      </c>
      <c r="G13" t="s">
        <v>21</v>
      </c>
      <c r="H13">
        <v>24</v>
      </c>
      <c r="I13">
        <v>9.61</v>
      </c>
      <c r="J13">
        <v>4.91</v>
      </c>
      <c r="K13">
        <v>1</v>
      </c>
      <c r="L13" t="str">
        <f>IF(tblTickets[[#This Row],[SLA Target (hrs)]]&gt;=tblTickets[[#This Row],[Actual Resolution Time (hrs)]],"Yes","No")</f>
        <v>Yes</v>
      </c>
      <c r="M13">
        <f>(tblTickets[[#This Row],[Resolved Date]]-tblTickets[[#This Row],[Created Date]])*24</f>
        <v>9.6099999997531995</v>
      </c>
      <c r="N13" t="str">
        <f>IF(tblTickets[[#This Row],[Customer Satisfaction]]&gt;=4,"Satisfied",IF(tblTickets[[#This Row],[Customer Satisfaction]]=3,"Neutral","Dissatisfied"))</f>
        <v>Dissatisfied</v>
      </c>
    </row>
    <row r="14" spans="1:14" x14ac:dyDescent="0.35">
      <c r="A14" t="s">
        <v>198</v>
      </c>
      <c r="B14" s="3">
        <v>45740</v>
      </c>
      <c r="C14" s="3">
        <v>45740.449166666673</v>
      </c>
      <c r="D14" t="s">
        <v>12</v>
      </c>
      <c r="E14" t="s">
        <v>17</v>
      </c>
      <c r="F14" t="s">
        <v>14</v>
      </c>
      <c r="G14" t="s">
        <v>26</v>
      </c>
      <c r="H14">
        <v>24</v>
      </c>
      <c r="I14">
        <v>10.78</v>
      </c>
      <c r="J14">
        <v>2.29</v>
      </c>
      <c r="K14">
        <v>1</v>
      </c>
      <c r="L14" t="str">
        <f>IF(tblTickets[[#This Row],[SLA Target (hrs)]]&gt;=tblTickets[[#This Row],[Actual Resolution Time (hrs)]],"Yes","No")</f>
        <v>Yes</v>
      </c>
      <c r="M14">
        <f>(tblTickets[[#This Row],[Resolved Date]]-tblTickets[[#This Row],[Created Date]])*24</f>
        <v>10.780000000144355</v>
      </c>
      <c r="N14" t="str">
        <f>IF(tblTickets[[#This Row],[Customer Satisfaction]]&gt;=4,"Satisfied",IF(tblTickets[[#This Row],[Customer Satisfaction]]=3,"Neutral","Dissatisfied"))</f>
        <v>Dissatisfied</v>
      </c>
    </row>
    <row r="15" spans="1:14" x14ac:dyDescent="0.35">
      <c r="A15" t="s">
        <v>172</v>
      </c>
      <c r="B15" s="3">
        <v>45686</v>
      </c>
      <c r="C15" s="3">
        <v>45686.566250000003</v>
      </c>
      <c r="D15" t="s">
        <v>12</v>
      </c>
      <c r="E15" t="s">
        <v>40</v>
      </c>
      <c r="F15" t="s">
        <v>41</v>
      </c>
      <c r="G15" t="s">
        <v>21</v>
      </c>
      <c r="H15">
        <v>24</v>
      </c>
      <c r="I15">
        <v>13.59</v>
      </c>
      <c r="J15">
        <v>1.07</v>
      </c>
      <c r="K15">
        <v>1</v>
      </c>
      <c r="L15" t="str">
        <f>IF(tblTickets[[#This Row],[SLA Target (hrs)]]&gt;=tblTickets[[#This Row],[Actual Resolution Time (hrs)]],"Yes","No")</f>
        <v>Yes</v>
      </c>
      <c r="M15">
        <f>(tblTickets[[#This Row],[Resolved Date]]-tblTickets[[#This Row],[Created Date]])*24</f>
        <v>13.590000000083819</v>
      </c>
      <c r="N15" t="str">
        <f>IF(tblTickets[[#This Row],[Customer Satisfaction]]&gt;=4,"Satisfied",IF(tblTickets[[#This Row],[Customer Satisfaction]]=3,"Neutral","Dissatisfied"))</f>
        <v>Dissatisfied</v>
      </c>
    </row>
    <row r="16" spans="1:14" x14ac:dyDescent="0.35">
      <c r="A16" t="s">
        <v>294</v>
      </c>
      <c r="B16" s="3">
        <v>45664</v>
      </c>
      <c r="C16" s="3">
        <v>45664.636666666673</v>
      </c>
      <c r="D16" t="s">
        <v>30</v>
      </c>
      <c r="E16" t="s">
        <v>13</v>
      </c>
      <c r="F16" t="s">
        <v>20</v>
      </c>
      <c r="G16" t="s">
        <v>15</v>
      </c>
      <c r="H16">
        <v>24</v>
      </c>
      <c r="I16">
        <v>15.28</v>
      </c>
      <c r="J16">
        <v>2.0299999999999998</v>
      </c>
      <c r="K16">
        <v>1</v>
      </c>
      <c r="L16" t="str">
        <f>IF(tblTickets[[#This Row],[SLA Target (hrs)]]&gt;=tblTickets[[#This Row],[Actual Resolution Time (hrs)]],"Yes","No")</f>
        <v>Yes</v>
      </c>
      <c r="M16">
        <f>(tblTickets[[#This Row],[Resolved Date]]-tblTickets[[#This Row],[Created Date]])*24</f>
        <v>15.280000000144355</v>
      </c>
      <c r="N16" t="str">
        <f>IF(tblTickets[[#This Row],[Customer Satisfaction]]&gt;=4,"Satisfied",IF(tblTickets[[#This Row],[Customer Satisfaction]]=3,"Neutral","Dissatisfied"))</f>
        <v>Dissatisfied</v>
      </c>
    </row>
    <row r="17" spans="1:14" x14ac:dyDescent="0.35">
      <c r="A17" t="s">
        <v>402</v>
      </c>
      <c r="B17" s="3">
        <v>45673</v>
      </c>
      <c r="C17" s="3">
        <v>45673.69458333333</v>
      </c>
      <c r="D17" t="s">
        <v>30</v>
      </c>
      <c r="E17" t="s">
        <v>13</v>
      </c>
      <c r="F17" t="s">
        <v>25</v>
      </c>
      <c r="G17" t="s">
        <v>26</v>
      </c>
      <c r="H17">
        <v>24</v>
      </c>
      <c r="I17">
        <v>16.670000000000002</v>
      </c>
      <c r="J17">
        <v>2.19</v>
      </c>
      <c r="K17">
        <v>1</v>
      </c>
      <c r="L17" t="str">
        <f>IF(tblTickets[[#This Row],[SLA Target (hrs)]]&gt;=tblTickets[[#This Row],[Actual Resolution Time (hrs)]],"Yes","No")</f>
        <v>Yes</v>
      </c>
      <c r="M17">
        <f>(tblTickets[[#This Row],[Resolved Date]]-tblTickets[[#This Row],[Created Date]])*24</f>
        <v>16.669999999925494</v>
      </c>
      <c r="N17" t="str">
        <f>IF(tblTickets[[#This Row],[Customer Satisfaction]]&gt;=4,"Satisfied",IF(tblTickets[[#This Row],[Customer Satisfaction]]=3,"Neutral","Dissatisfied"))</f>
        <v>Dissatisfied</v>
      </c>
    </row>
    <row r="18" spans="1:14" x14ac:dyDescent="0.35">
      <c r="A18" t="s">
        <v>290</v>
      </c>
      <c r="B18" s="3">
        <v>45705</v>
      </c>
      <c r="C18" s="3">
        <v>45705.724583333344</v>
      </c>
      <c r="D18" t="s">
        <v>23</v>
      </c>
      <c r="E18" t="s">
        <v>13</v>
      </c>
      <c r="F18" t="s">
        <v>41</v>
      </c>
      <c r="G18" t="s">
        <v>26</v>
      </c>
      <c r="H18">
        <v>24</v>
      </c>
      <c r="I18">
        <v>17.39</v>
      </c>
      <c r="J18">
        <v>4.8099999999999996</v>
      </c>
      <c r="K18">
        <v>1</v>
      </c>
      <c r="L18" t="str">
        <f>IF(tblTickets[[#This Row],[SLA Target (hrs)]]&gt;=tblTickets[[#This Row],[Actual Resolution Time (hrs)]],"Yes","No")</f>
        <v>Yes</v>
      </c>
      <c r="M18">
        <f>(tblTickets[[#This Row],[Resolved Date]]-tblTickets[[#This Row],[Created Date]])*24</f>
        <v>17.3900000002468</v>
      </c>
      <c r="N18" t="str">
        <f>IF(tblTickets[[#This Row],[Customer Satisfaction]]&gt;=4,"Satisfied",IF(tblTickets[[#This Row],[Customer Satisfaction]]=3,"Neutral","Dissatisfied"))</f>
        <v>Dissatisfied</v>
      </c>
    </row>
    <row r="19" spans="1:14" x14ac:dyDescent="0.35">
      <c r="A19" t="s">
        <v>513</v>
      </c>
      <c r="B19" s="3">
        <v>45686</v>
      </c>
      <c r="C19" s="3">
        <v>45686.732083333343</v>
      </c>
      <c r="D19" t="s">
        <v>34</v>
      </c>
      <c r="E19" t="s">
        <v>17</v>
      </c>
      <c r="F19" t="s">
        <v>41</v>
      </c>
      <c r="G19" t="s">
        <v>26</v>
      </c>
      <c r="H19">
        <v>24</v>
      </c>
      <c r="I19">
        <v>17.57</v>
      </c>
      <c r="J19">
        <v>2.4300000000000002</v>
      </c>
      <c r="K19">
        <v>1</v>
      </c>
      <c r="L19" t="str">
        <f>IF(tblTickets[[#This Row],[SLA Target (hrs)]]&gt;=tblTickets[[#This Row],[Actual Resolution Time (hrs)]],"Yes","No")</f>
        <v>Yes</v>
      </c>
      <c r="M19">
        <f>(tblTickets[[#This Row],[Resolved Date]]-tblTickets[[#This Row],[Created Date]])*24</f>
        <v>17.570000000239816</v>
      </c>
      <c r="N19" t="str">
        <f>IF(tblTickets[[#This Row],[Customer Satisfaction]]&gt;=4,"Satisfied",IF(tblTickets[[#This Row],[Customer Satisfaction]]=3,"Neutral","Dissatisfied"))</f>
        <v>Dissatisfied</v>
      </c>
    </row>
    <row r="20" spans="1:14" x14ac:dyDescent="0.35">
      <c r="A20" t="s">
        <v>355</v>
      </c>
      <c r="B20" s="3">
        <v>45706</v>
      </c>
      <c r="C20" s="3">
        <v>45706.764166666668</v>
      </c>
      <c r="D20" t="s">
        <v>34</v>
      </c>
      <c r="E20" t="s">
        <v>17</v>
      </c>
      <c r="F20" t="s">
        <v>25</v>
      </c>
      <c r="G20" t="s">
        <v>21</v>
      </c>
      <c r="H20">
        <v>24</v>
      </c>
      <c r="I20">
        <v>18.34</v>
      </c>
      <c r="J20">
        <v>4.91</v>
      </c>
      <c r="K20">
        <v>1</v>
      </c>
      <c r="L20" t="str">
        <f>IF(tblTickets[[#This Row],[SLA Target (hrs)]]&gt;=tblTickets[[#This Row],[Actual Resolution Time (hrs)]],"Yes","No")</f>
        <v>Yes</v>
      </c>
      <c r="M20">
        <f>(tblTickets[[#This Row],[Resolved Date]]-tblTickets[[#This Row],[Created Date]])*24</f>
        <v>18.340000000025611</v>
      </c>
      <c r="N20" t="str">
        <f>IF(tblTickets[[#This Row],[Customer Satisfaction]]&gt;=4,"Satisfied",IF(tblTickets[[#This Row],[Customer Satisfaction]]=3,"Neutral","Dissatisfied"))</f>
        <v>Dissatisfied</v>
      </c>
    </row>
    <row r="21" spans="1:14" x14ac:dyDescent="0.35">
      <c r="A21" t="s">
        <v>89</v>
      </c>
      <c r="B21" s="3">
        <v>45681</v>
      </c>
      <c r="C21" s="3">
        <v>45681.810416666667</v>
      </c>
      <c r="D21" t="s">
        <v>23</v>
      </c>
      <c r="E21" t="s">
        <v>19</v>
      </c>
      <c r="F21" t="s">
        <v>41</v>
      </c>
      <c r="G21" t="s">
        <v>21</v>
      </c>
      <c r="H21">
        <v>24</v>
      </c>
      <c r="I21">
        <v>19.45</v>
      </c>
      <c r="J21">
        <v>0.97</v>
      </c>
      <c r="K21">
        <v>1</v>
      </c>
      <c r="L21" t="str">
        <f>IF(tblTickets[[#This Row],[SLA Target (hrs)]]&gt;=tblTickets[[#This Row],[Actual Resolution Time (hrs)]],"Yes","No")</f>
        <v>Yes</v>
      </c>
      <c r="M21">
        <f>(tblTickets[[#This Row],[Resolved Date]]-tblTickets[[#This Row],[Created Date]])*24</f>
        <v>19.450000000011642</v>
      </c>
      <c r="N21" t="str">
        <f>IF(tblTickets[[#This Row],[Customer Satisfaction]]&gt;=4,"Satisfied",IF(tblTickets[[#This Row],[Customer Satisfaction]]=3,"Neutral","Dissatisfied"))</f>
        <v>Dissatisfied</v>
      </c>
    </row>
    <row r="22" spans="1:14" x14ac:dyDescent="0.35">
      <c r="A22" t="s">
        <v>369</v>
      </c>
      <c r="B22" s="3">
        <v>45689</v>
      </c>
      <c r="C22" s="3">
        <v>45689.814166666663</v>
      </c>
      <c r="D22" t="s">
        <v>34</v>
      </c>
      <c r="E22" t="s">
        <v>40</v>
      </c>
      <c r="F22" t="s">
        <v>25</v>
      </c>
      <c r="G22" t="s">
        <v>21</v>
      </c>
      <c r="H22">
        <v>24</v>
      </c>
      <c r="I22">
        <v>19.54</v>
      </c>
      <c r="J22">
        <v>4.0199999999999996</v>
      </c>
      <c r="K22">
        <v>1</v>
      </c>
      <c r="L22" t="str">
        <f>IF(tblTickets[[#This Row],[SLA Target (hrs)]]&gt;=tblTickets[[#This Row],[Actual Resolution Time (hrs)]],"Yes","No")</f>
        <v>Yes</v>
      </c>
      <c r="M22">
        <f>(tblTickets[[#This Row],[Resolved Date]]-tblTickets[[#This Row],[Created Date]])*24</f>
        <v>19.539999999920838</v>
      </c>
      <c r="N22" t="str">
        <f>IF(tblTickets[[#This Row],[Customer Satisfaction]]&gt;=4,"Satisfied",IF(tblTickets[[#This Row],[Customer Satisfaction]]=3,"Neutral","Dissatisfied"))</f>
        <v>Dissatisfied</v>
      </c>
    </row>
    <row r="23" spans="1:14" x14ac:dyDescent="0.35">
      <c r="A23" t="s">
        <v>231</v>
      </c>
      <c r="B23" s="3">
        <v>45733</v>
      </c>
      <c r="C23" s="3">
        <v>45733.830416666657</v>
      </c>
      <c r="D23" t="s">
        <v>34</v>
      </c>
      <c r="E23" t="s">
        <v>19</v>
      </c>
      <c r="F23" t="s">
        <v>45</v>
      </c>
      <c r="G23" t="s">
        <v>26</v>
      </c>
      <c r="H23">
        <v>24</v>
      </c>
      <c r="I23">
        <v>19.93</v>
      </c>
      <c r="J23">
        <v>1.05</v>
      </c>
      <c r="K23">
        <v>1</v>
      </c>
      <c r="L23" t="str">
        <f>IF(tblTickets[[#This Row],[SLA Target (hrs)]]&gt;=tblTickets[[#This Row],[Actual Resolution Time (hrs)]],"Yes","No")</f>
        <v>Yes</v>
      </c>
      <c r="M23">
        <f>(tblTickets[[#This Row],[Resolved Date]]-tblTickets[[#This Row],[Created Date]])*24</f>
        <v>19.929999999760184</v>
      </c>
      <c r="N23" t="str">
        <f>IF(tblTickets[[#This Row],[Customer Satisfaction]]&gt;=4,"Satisfied",IF(tblTickets[[#This Row],[Customer Satisfaction]]=3,"Neutral","Dissatisfied"))</f>
        <v>Dissatisfied</v>
      </c>
    </row>
    <row r="24" spans="1:14" x14ac:dyDescent="0.35">
      <c r="A24" t="s">
        <v>196</v>
      </c>
      <c r="B24" s="3">
        <v>45695</v>
      </c>
      <c r="C24" s="3">
        <v>45695.907083333332</v>
      </c>
      <c r="D24" t="s">
        <v>34</v>
      </c>
      <c r="E24" t="s">
        <v>13</v>
      </c>
      <c r="F24" t="s">
        <v>45</v>
      </c>
      <c r="G24" t="s">
        <v>15</v>
      </c>
      <c r="H24">
        <v>24</v>
      </c>
      <c r="I24">
        <v>21.77</v>
      </c>
      <c r="J24">
        <v>5.47</v>
      </c>
      <c r="K24">
        <v>1</v>
      </c>
      <c r="L24" t="str">
        <f>IF(tblTickets[[#This Row],[SLA Target (hrs)]]&gt;=tblTickets[[#This Row],[Actual Resolution Time (hrs)]],"Yes","No")</f>
        <v>Yes</v>
      </c>
      <c r="M24">
        <f>(tblTickets[[#This Row],[Resolved Date]]-tblTickets[[#This Row],[Created Date]])*24</f>
        <v>21.769999999960419</v>
      </c>
      <c r="N24" t="str">
        <f>IF(tblTickets[[#This Row],[Customer Satisfaction]]&gt;=4,"Satisfied",IF(tblTickets[[#This Row],[Customer Satisfaction]]=3,"Neutral","Dissatisfied"))</f>
        <v>Dissatisfied</v>
      </c>
    </row>
    <row r="25" spans="1:14" x14ac:dyDescent="0.35">
      <c r="A25" t="s">
        <v>318</v>
      </c>
      <c r="B25" s="3">
        <v>45739</v>
      </c>
      <c r="C25" s="3">
        <v>45739.94458333333</v>
      </c>
      <c r="D25" t="s">
        <v>34</v>
      </c>
      <c r="E25" t="s">
        <v>40</v>
      </c>
      <c r="F25" t="s">
        <v>41</v>
      </c>
      <c r="G25" t="s">
        <v>15</v>
      </c>
      <c r="H25">
        <v>24</v>
      </c>
      <c r="I25">
        <v>22.67</v>
      </c>
      <c r="J25">
        <v>4.29</v>
      </c>
      <c r="K25">
        <v>1</v>
      </c>
      <c r="L25" t="str">
        <f>IF(tblTickets[[#This Row],[SLA Target (hrs)]]&gt;=tblTickets[[#This Row],[Actual Resolution Time (hrs)]],"Yes","No")</f>
        <v>Yes</v>
      </c>
      <c r="M25">
        <f>(tblTickets[[#This Row],[Resolved Date]]-tblTickets[[#This Row],[Created Date]])*24</f>
        <v>22.669999999925494</v>
      </c>
      <c r="N25" t="str">
        <f>IF(tblTickets[[#This Row],[Customer Satisfaction]]&gt;=4,"Satisfied",IF(tblTickets[[#This Row],[Customer Satisfaction]]=3,"Neutral","Dissatisfied"))</f>
        <v>Dissatisfied</v>
      </c>
    </row>
    <row r="26" spans="1:14" x14ac:dyDescent="0.35">
      <c r="A26" t="s">
        <v>328</v>
      </c>
      <c r="B26" s="3">
        <v>45670</v>
      </c>
      <c r="C26" s="3">
        <v>45670.947083333333</v>
      </c>
      <c r="D26" t="s">
        <v>30</v>
      </c>
      <c r="E26" t="s">
        <v>13</v>
      </c>
      <c r="F26" t="s">
        <v>25</v>
      </c>
      <c r="G26" t="s">
        <v>21</v>
      </c>
      <c r="H26">
        <v>24</v>
      </c>
      <c r="I26">
        <v>22.73</v>
      </c>
      <c r="J26">
        <v>1.54</v>
      </c>
      <c r="K26">
        <v>1</v>
      </c>
      <c r="L26" t="str">
        <f>IF(tblTickets[[#This Row],[SLA Target (hrs)]]&gt;=tblTickets[[#This Row],[Actual Resolution Time (hrs)]],"Yes","No")</f>
        <v>Yes</v>
      </c>
      <c r="M26">
        <f>(tblTickets[[#This Row],[Resolved Date]]-tblTickets[[#This Row],[Created Date]])*24</f>
        <v>22.729999999981374</v>
      </c>
      <c r="N26" t="str">
        <f>IF(tblTickets[[#This Row],[Customer Satisfaction]]&gt;=4,"Satisfied",IF(tblTickets[[#This Row],[Customer Satisfaction]]=3,"Neutral","Dissatisfied"))</f>
        <v>Dissatisfied</v>
      </c>
    </row>
    <row r="27" spans="1:14" x14ac:dyDescent="0.35">
      <c r="A27" t="s">
        <v>160</v>
      </c>
      <c r="B27" s="3">
        <v>45724</v>
      </c>
      <c r="C27" s="3">
        <v>45724.970833333333</v>
      </c>
      <c r="D27" t="s">
        <v>34</v>
      </c>
      <c r="E27" t="s">
        <v>19</v>
      </c>
      <c r="F27" t="s">
        <v>20</v>
      </c>
      <c r="G27" t="s">
        <v>15</v>
      </c>
      <c r="H27">
        <v>24</v>
      </c>
      <c r="I27">
        <v>23.3</v>
      </c>
      <c r="J27">
        <v>5.25</v>
      </c>
      <c r="K27">
        <v>1</v>
      </c>
      <c r="L27" t="str">
        <f>IF(tblTickets[[#This Row],[SLA Target (hrs)]]&gt;=tblTickets[[#This Row],[Actual Resolution Time (hrs)]],"Yes","No")</f>
        <v>Yes</v>
      </c>
      <c r="M27">
        <f>(tblTickets[[#This Row],[Resolved Date]]-tblTickets[[#This Row],[Created Date]])*24</f>
        <v>23.299999999988358</v>
      </c>
      <c r="N27" t="str">
        <f>IF(tblTickets[[#This Row],[Customer Satisfaction]]&gt;=4,"Satisfied",IF(tblTickets[[#This Row],[Customer Satisfaction]]=3,"Neutral","Dissatisfied"))</f>
        <v>Dissatisfied</v>
      </c>
    </row>
    <row r="28" spans="1:14" x14ac:dyDescent="0.35">
      <c r="A28" t="s">
        <v>276</v>
      </c>
      <c r="B28" s="3">
        <v>45699</v>
      </c>
      <c r="C28" s="3">
        <v>45699.979166666657</v>
      </c>
      <c r="D28" t="s">
        <v>30</v>
      </c>
      <c r="E28" t="s">
        <v>17</v>
      </c>
      <c r="F28" t="s">
        <v>20</v>
      </c>
      <c r="G28" t="s">
        <v>21</v>
      </c>
      <c r="H28">
        <v>24</v>
      </c>
      <c r="I28">
        <v>23.5</v>
      </c>
      <c r="J28">
        <v>6.44</v>
      </c>
      <c r="K28">
        <v>1</v>
      </c>
      <c r="L28" t="str">
        <f>IF(tblTickets[[#This Row],[SLA Target (hrs)]]&gt;=tblTickets[[#This Row],[Actual Resolution Time (hrs)]],"Yes","No")</f>
        <v>Yes</v>
      </c>
      <c r="M28">
        <f>(tblTickets[[#This Row],[Resolved Date]]-tblTickets[[#This Row],[Created Date]])*24</f>
        <v>23.499999999767169</v>
      </c>
      <c r="N28" t="str">
        <f>IF(tblTickets[[#This Row],[Customer Satisfaction]]&gt;=4,"Satisfied",IF(tblTickets[[#This Row],[Customer Satisfaction]]=3,"Neutral","Dissatisfied"))</f>
        <v>Dissatisfied</v>
      </c>
    </row>
    <row r="29" spans="1:14" x14ac:dyDescent="0.35">
      <c r="A29" t="s">
        <v>427</v>
      </c>
      <c r="B29" s="3">
        <v>45734</v>
      </c>
      <c r="C29" s="3">
        <v>45735.489583333343</v>
      </c>
      <c r="D29" t="s">
        <v>23</v>
      </c>
      <c r="E29" t="s">
        <v>17</v>
      </c>
      <c r="F29" t="s">
        <v>25</v>
      </c>
      <c r="G29" t="s">
        <v>26</v>
      </c>
      <c r="H29">
        <v>4</v>
      </c>
      <c r="I29">
        <v>35.75</v>
      </c>
      <c r="J29">
        <v>3.76</v>
      </c>
      <c r="K29">
        <v>1</v>
      </c>
      <c r="L29" t="str">
        <f>IF(tblTickets[[#This Row],[SLA Target (hrs)]]&gt;=tblTickets[[#This Row],[Actual Resolution Time (hrs)]],"Yes","No")</f>
        <v>No</v>
      </c>
      <c r="M29">
        <f>(tblTickets[[#This Row],[Resolved Date]]-tblTickets[[#This Row],[Created Date]])*24</f>
        <v>35.750000000232831</v>
      </c>
      <c r="N29" t="str">
        <f>IF(tblTickets[[#This Row],[Customer Satisfaction]]&gt;=4,"Satisfied",IF(tblTickets[[#This Row],[Customer Satisfaction]]=3,"Neutral","Dissatisfied"))</f>
        <v>Dissatisfied</v>
      </c>
    </row>
    <row r="30" spans="1:14" x14ac:dyDescent="0.35">
      <c r="A30" t="s">
        <v>83</v>
      </c>
      <c r="B30" s="3">
        <v>45667</v>
      </c>
      <c r="C30" s="3">
        <v>45668.498333333337</v>
      </c>
      <c r="D30" t="s">
        <v>23</v>
      </c>
      <c r="E30" t="s">
        <v>17</v>
      </c>
      <c r="F30" t="s">
        <v>45</v>
      </c>
      <c r="G30" t="s">
        <v>21</v>
      </c>
      <c r="H30">
        <v>24</v>
      </c>
      <c r="I30">
        <v>35.96</v>
      </c>
      <c r="J30">
        <v>7.81</v>
      </c>
      <c r="K30">
        <v>1</v>
      </c>
      <c r="L30" t="str">
        <f>IF(tblTickets[[#This Row],[SLA Target (hrs)]]&gt;=tblTickets[[#This Row],[Actual Resolution Time (hrs)]],"Yes","No")</f>
        <v>No</v>
      </c>
      <c r="M30">
        <f>(tblTickets[[#This Row],[Resolved Date]]-tblTickets[[#This Row],[Created Date]])*24</f>
        <v>35.960000000079162</v>
      </c>
      <c r="N30" t="str">
        <f>IF(tblTickets[[#This Row],[Customer Satisfaction]]&gt;=4,"Satisfied",IF(tblTickets[[#This Row],[Customer Satisfaction]]=3,"Neutral","Dissatisfied"))</f>
        <v>Dissatisfied</v>
      </c>
    </row>
    <row r="31" spans="1:14" x14ac:dyDescent="0.35">
      <c r="A31" t="s">
        <v>327</v>
      </c>
      <c r="B31" s="3">
        <v>45701</v>
      </c>
      <c r="C31" s="3">
        <v>45702.536666666667</v>
      </c>
      <c r="D31" t="s">
        <v>30</v>
      </c>
      <c r="E31" t="s">
        <v>40</v>
      </c>
      <c r="F31" t="s">
        <v>45</v>
      </c>
      <c r="G31" t="s">
        <v>15</v>
      </c>
      <c r="H31">
        <v>8</v>
      </c>
      <c r="I31">
        <v>36.880000000000003</v>
      </c>
      <c r="J31">
        <v>5.67</v>
      </c>
      <c r="K31">
        <v>1</v>
      </c>
      <c r="L31" t="str">
        <f>IF(tblTickets[[#This Row],[SLA Target (hrs)]]&gt;=tblTickets[[#This Row],[Actual Resolution Time (hrs)]],"Yes","No")</f>
        <v>No</v>
      </c>
      <c r="M31">
        <f>(tblTickets[[#This Row],[Resolved Date]]-tblTickets[[#This Row],[Created Date]])*24</f>
        <v>36.880000000004657</v>
      </c>
      <c r="N31" t="str">
        <f>IF(tblTickets[[#This Row],[Customer Satisfaction]]&gt;=4,"Satisfied",IF(tblTickets[[#This Row],[Customer Satisfaction]]=3,"Neutral","Dissatisfied"))</f>
        <v>Dissatisfied</v>
      </c>
    </row>
    <row r="32" spans="1:14" x14ac:dyDescent="0.35">
      <c r="A32" t="s">
        <v>388</v>
      </c>
      <c r="B32" s="3">
        <v>45675</v>
      </c>
      <c r="C32" s="3">
        <v>45676.541250000002</v>
      </c>
      <c r="D32" t="s">
        <v>23</v>
      </c>
      <c r="E32" t="s">
        <v>17</v>
      </c>
      <c r="F32" t="s">
        <v>20</v>
      </c>
      <c r="G32" t="s">
        <v>15</v>
      </c>
      <c r="H32">
        <v>24</v>
      </c>
      <c r="I32">
        <v>36.99</v>
      </c>
      <c r="J32">
        <v>6.01</v>
      </c>
      <c r="K32">
        <v>1</v>
      </c>
      <c r="L32" t="str">
        <f>IF(tblTickets[[#This Row],[SLA Target (hrs)]]&gt;=tblTickets[[#This Row],[Actual Resolution Time (hrs)]],"Yes","No")</f>
        <v>No</v>
      </c>
      <c r="M32">
        <f>(tblTickets[[#This Row],[Resolved Date]]-tblTickets[[#This Row],[Created Date]])*24</f>
        <v>36.990000000048894</v>
      </c>
      <c r="N32" t="str">
        <f>IF(tblTickets[[#This Row],[Customer Satisfaction]]&gt;=4,"Satisfied",IF(tblTickets[[#This Row],[Customer Satisfaction]]=3,"Neutral","Dissatisfied"))</f>
        <v>Dissatisfied</v>
      </c>
    </row>
    <row r="33" spans="1:14" x14ac:dyDescent="0.35">
      <c r="A33" t="s">
        <v>96</v>
      </c>
      <c r="B33" s="3">
        <v>45746</v>
      </c>
      <c r="C33" s="3">
        <v>45747.567083333342</v>
      </c>
      <c r="D33" t="s">
        <v>34</v>
      </c>
      <c r="E33" t="s">
        <v>40</v>
      </c>
      <c r="F33" t="s">
        <v>45</v>
      </c>
      <c r="G33" t="s">
        <v>26</v>
      </c>
      <c r="H33">
        <v>24</v>
      </c>
      <c r="I33">
        <v>37.61</v>
      </c>
      <c r="J33">
        <v>3.72</v>
      </c>
      <c r="K33">
        <v>1</v>
      </c>
      <c r="L33" t="str">
        <f>IF(tblTickets[[#This Row],[SLA Target (hrs)]]&gt;=tblTickets[[#This Row],[Actual Resolution Time (hrs)]],"Yes","No")</f>
        <v>No</v>
      </c>
      <c r="M33">
        <f>(tblTickets[[#This Row],[Resolved Date]]-tblTickets[[#This Row],[Created Date]])*24</f>
        <v>37.610000000218861</v>
      </c>
      <c r="N33" t="str">
        <f>IF(tblTickets[[#This Row],[Customer Satisfaction]]&gt;=4,"Satisfied",IF(tblTickets[[#This Row],[Customer Satisfaction]]=3,"Neutral","Dissatisfied"))</f>
        <v>Dissatisfied</v>
      </c>
    </row>
    <row r="34" spans="1:14" x14ac:dyDescent="0.35">
      <c r="A34" t="s">
        <v>273</v>
      </c>
      <c r="B34" s="3">
        <v>45678</v>
      </c>
      <c r="C34" s="3">
        <v>45679.604166666657</v>
      </c>
      <c r="D34" t="s">
        <v>30</v>
      </c>
      <c r="E34" t="s">
        <v>13</v>
      </c>
      <c r="F34" t="s">
        <v>41</v>
      </c>
      <c r="G34" t="s">
        <v>26</v>
      </c>
      <c r="H34">
        <v>24</v>
      </c>
      <c r="I34">
        <v>38.5</v>
      </c>
      <c r="J34">
        <v>0.78</v>
      </c>
      <c r="K34">
        <v>1</v>
      </c>
      <c r="L34" t="str">
        <f>IF(tblTickets[[#This Row],[SLA Target (hrs)]]&gt;=tblTickets[[#This Row],[Actual Resolution Time (hrs)]],"Yes","No")</f>
        <v>No</v>
      </c>
      <c r="M34">
        <f>(tblTickets[[#This Row],[Resolved Date]]-tblTickets[[#This Row],[Created Date]])*24</f>
        <v>38.499999999767169</v>
      </c>
      <c r="N34" t="str">
        <f>IF(tblTickets[[#This Row],[Customer Satisfaction]]&gt;=4,"Satisfied",IF(tblTickets[[#This Row],[Customer Satisfaction]]=3,"Neutral","Dissatisfied"))</f>
        <v>Dissatisfied</v>
      </c>
    </row>
    <row r="35" spans="1:14" x14ac:dyDescent="0.35">
      <c r="A35" t="s">
        <v>422</v>
      </c>
      <c r="B35" s="3">
        <v>45734</v>
      </c>
      <c r="C35" s="3">
        <v>45735.621666666673</v>
      </c>
      <c r="D35" t="s">
        <v>12</v>
      </c>
      <c r="E35" t="s">
        <v>19</v>
      </c>
      <c r="F35" t="s">
        <v>14</v>
      </c>
      <c r="G35" t="s">
        <v>21</v>
      </c>
      <c r="H35">
        <v>8</v>
      </c>
      <c r="I35">
        <v>38.92</v>
      </c>
      <c r="J35">
        <v>6.94</v>
      </c>
      <c r="K35">
        <v>1</v>
      </c>
      <c r="L35" t="str">
        <f>IF(tblTickets[[#This Row],[SLA Target (hrs)]]&gt;=tblTickets[[#This Row],[Actual Resolution Time (hrs)]],"Yes","No")</f>
        <v>No</v>
      </c>
      <c r="M35">
        <f>(tblTickets[[#This Row],[Resolved Date]]-tblTickets[[#This Row],[Created Date]])*24</f>
        <v>38.920000000158325</v>
      </c>
      <c r="N35" t="str">
        <f>IF(tblTickets[[#This Row],[Customer Satisfaction]]&gt;=4,"Satisfied",IF(tblTickets[[#This Row],[Customer Satisfaction]]=3,"Neutral","Dissatisfied"))</f>
        <v>Dissatisfied</v>
      </c>
    </row>
    <row r="36" spans="1:14" x14ac:dyDescent="0.35">
      <c r="A36" t="s">
        <v>292</v>
      </c>
      <c r="B36" s="3">
        <v>45728</v>
      </c>
      <c r="C36" s="3">
        <v>45729.622499999998</v>
      </c>
      <c r="D36" t="s">
        <v>12</v>
      </c>
      <c r="E36" t="s">
        <v>40</v>
      </c>
      <c r="F36" t="s">
        <v>20</v>
      </c>
      <c r="G36" t="s">
        <v>26</v>
      </c>
      <c r="H36">
        <v>4</v>
      </c>
      <c r="I36">
        <v>38.94</v>
      </c>
      <c r="J36">
        <v>0.82</v>
      </c>
      <c r="K36">
        <v>1</v>
      </c>
      <c r="L36" t="str">
        <f>IF(tblTickets[[#This Row],[SLA Target (hrs)]]&gt;=tblTickets[[#This Row],[Actual Resolution Time (hrs)]],"Yes","No")</f>
        <v>No</v>
      </c>
      <c r="M36">
        <f>(tblTickets[[#This Row],[Resolved Date]]-tblTickets[[#This Row],[Created Date]])*24</f>
        <v>38.939999999944121</v>
      </c>
      <c r="N36" t="str">
        <f>IF(tblTickets[[#This Row],[Customer Satisfaction]]&gt;=4,"Satisfied",IF(tblTickets[[#This Row],[Customer Satisfaction]]=3,"Neutral","Dissatisfied"))</f>
        <v>Dissatisfied</v>
      </c>
    </row>
    <row r="37" spans="1:14" x14ac:dyDescent="0.35">
      <c r="A37" t="s">
        <v>454</v>
      </c>
      <c r="B37" s="3">
        <v>45659</v>
      </c>
      <c r="C37" s="3">
        <v>45660.631249999999</v>
      </c>
      <c r="D37" t="s">
        <v>34</v>
      </c>
      <c r="E37" t="s">
        <v>40</v>
      </c>
      <c r="F37" t="s">
        <v>45</v>
      </c>
      <c r="G37" t="s">
        <v>15</v>
      </c>
      <c r="H37">
        <v>24</v>
      </c>
      <c r="I37">
        <v>39.15</v>
      </c>
      <c r="J37">
        <v>2.97</v>
      </c>
      <c r="K37">
        <v>1</v>
      </c>
      <c r="L37" t="str">
        <f>IF(tblTickets[[#This Row],[SLA Target (hrs)]]&gt;=tblTickets[[#This Row],[Actual Resolution Time (hrs)]],"Yes","No")</f>
        <v>No</v>
      </c>
      <c r="M37">
        <f>(tblTickets[[#This Row],[Resolved Date]]-tblTickets[[#This Row],[Created Date]])*24</f>
        <v>39.149999999965075</v>
      </c>
      <c r="N37" t="str">
        <f>IF(tblTickets[[#This Row],[Customer Satisfaction]]&gt;=4,"Satisfied",IF(tblTickets[[#This Row],[Customer Satisfaction]]=3,"Neutral","Dissatisfied"))</f>
        <v>Dissatisfied</v>
      </c>
    </row>
    <row r="38" spans="1:14" x14ac:dyDescent="0.35">
      <c r="A38" t="s">
        <v>121</v>
      </c>
      <c r="B38" s="3">
        <v>45680</v>
      </c>
      <c r="C38" s="3">
        <v>45681.654166666667</v>
      </c>
      <c r="D38" t="s">
        <v>23</v>
      </c>
      <c r="E38" t="s">
        <v>40</v>
      </c>
      <c r="F38" t="s">
        <v>45</v>
      </c>
      <c r="G38" t="s">
        <v>21</v>
      </c>
      <c r="H38">
        <v>24</v>
      </c>
      <c r="I38">
        <v>39.700000000000003</v>
      </c>
      <c r="J38">
        <v>4.26</v>
      </c>
      <c r="K38">
        <v>1</v>
      </c>
      <c r="L38" t="str">
        <f>IF(tblTickets[[#This Row],[SLA Target (hrs)]]&gt;=tblTickets[[#This Row],[Actual Resolution Time (hrs)]],"Yes","No")</f>
        <v>No</v>
      </c>
      <c r="M38">
        <f>(tblTickets[[#This Row],[Resolved Date]]-tblTickets[[#This Row],[Created Date]])*24</f>
        <v>39.700000000011642</v>
      </c>
      <c r="N38" t="str">
        <f>IF(tblTickets[[#This Row],[Customer Satisfaction]]&gt;=4,"Satisfied",IF(tblTickets[[#This Row],[Customer Satisfaction]]=3,"Neutral","Dissatisfied"))</f>
        <v>Dissatisfied</v>
      </c>
    </row>
    <row r="39" spans="1:14" x14ac:dyDescent="0.35">
      <c r="A39" t="s">
        <v>123</v>
      </c>
      <c r="B39" s="3">
        <v>45725</v>
      </c>
      <c r="C39" s="3">
        <v>45726.657916666663</v>
      </c>
      <c r="D39" t="s">
        <v>30</v>
      </c>
      <c r="E39" t="s">
        <v>40</v>
      </c>
      <c r="F39" t="s">
        <v>14</v>
      </c>
      <c r="G39" t="s">
        <v>15</v>
      </c>
      <c r="H39">
        <v>24</v>
      </c>
      <c r="I39">
        <v>39.79</v>
      </c>
      <c r="J39">
        <v>5.72</v>
      </c>
      <c r="K39">
        <v>1</v>
      </c>
      <c r="L39" t="str">
        <f>IF(tblTickets[[#This Row],[SLA Target (hrs)]]&gt;=tblTickets[[#This Row],[Actual Resolution Time (hrs)]],"Yes","No")</f>
        <v>No</v>
      </c>
      <c r="M39">
        <f>(tblTickets[[#This Row],[Resolved Date]]-tblTickets[[#This Row],[Created Date]])*24</f>
        <v>39.789999999920838</v>
      </c>
      <c r="N39" t="str">
        <f>IF(tblTickets[[#This Row],[Customer Satisfaction]]&gt;=4,"Satisfied",IF(tblTickets[[#This Row],[Customer Satisfaction]]=3,"Neutral","Dissatisfied"))</f>
        <v>Dissatisfied</v>
      </c>
    </row>
    <row r="40" spans="1:14" x14ac:dyDescent="0.35">
      <c r="A40" t="s">
        <v>503</v>
      </c>
      <c r="B40" s="3">
        <v>45705</v>
      </c>
      <c r="C40" s="3">
        <v>45706.665416666663</v>
      </c>
      <c r="D40" t="s">
        <v>12</v>
      </c>
      <c r="E40" t="s">
        <v>40</v>
      </c>
      <c r="F40" t="s">
        <v>25</v>
      </c>
      <c r="G40" t="s">
        <v>21</v>
      </c>
      <c r="H40">
        <v>4</v>
      </c>
      <c r="I40">
        <v>39.97</v>
      </c>
      <c r="J40">
        <v>3.5</v>
      </c>
      <c r="K40">
        <v>1</v>
      </c>
      <c r="L40" t="str">
        <f>IF(tblTickets[[#This Row],[SLA Target (hrs)]]&gt;=tblTickets[[#This Row],[Actual Resolution Time (hrs)]],"Yes","No")</f>
        <v>No</v>
      </c>
      <c r="M40">
        <f>(tblTickets[[#This Row],[Resolved Date]]-tblTickets[[#This Row],[Created Date]])*24</f>
        <v>39.969999999913853</v>
      </c>
      <c r="N40" t="str">
        <f>IF(tblTickets[[#This Row],[Customer Satisfaction]]&gt;=4,"Satisfied",IF(tblTickets[[#This Row],[Customer Satisfaction]]=3,"Neutral","Dissatisfied"))</f>
        <v>Dissatisfied</v>
      </c>
    </row>
    <row r="41" spans="1:14" x14ac:dyDescent="0.35">
      <c r="A41" t="s">
        <v>362</v>
      </c>
      <c r="B41" s="3">
        <v>45711</v>
      </c>
      <c r="C41" s="3">
        <v>45712.691666666673</v>
      </c>
      <c r="D41" t="s">
        <v>23</v>
      </c>
      <c r="E41" t="s">
        <v>13</v>
      </c>
      <c r="F41" t="s">
        <v>45</v>
      </c>
      <c r="G41" t="s">
        <v>26</v>
      </c>
      <c r="H41">
        <v>24</v>
      </c>
      <c r="I41">
        <v>40.6</v>
      </c>
      <c r="J41">
        <v>1.3</v>
      </c>
      <c r="K41">
        <v>1</v>
      </c>
      <c r="L41" t="str">
        <f>IF(tblTickets[[#This Row],[SLA Target (hrs)]]&gt;=tblTickets[[#This Row],[Actual Resolution Time (hrs)]],"Yes","No")</f>
        <v>No</v>
      </c>
      <c r="M41">
        <f>(tblTickets[[#This Row],[Resolved Date]]-tblTickets[[#This Row],[Created Date]])*24</f>
        <v>40.60000000015134</v>
      </c>
      <c r="N41" t="str">
        <f>IF(tblTickets[[#This Row],[Customer Satisfaction]]&gt;=4,"Satisfied",IF(tblTickets[[#This Row],[Customer Satisfaction]]=3,"Neutral","Dissatisfied"))</f>
        <v>Dissatisfied</v>
      </c>
    </row>
    <row r="42" spans="1:14" x14ac:dyDescent="0.35">
      <c r="A42" t="s">
        <v>145</v>
      </c>
      <c r="B42" s="3">
        <v>45741</v>
      </c>
      <c r="C42" s="3">
        <v>45742.709583333337</v>
      </c>
      <c r="D42" t="s">
        <v>23</v>
      </c>
      <c r="E42" t="s">
        <v>19</v>
      </c>
      <c r="F42" t="s">
        <v>41</v>
      </c>
      <c r="G42" t="s">
        <v>26</v>
      </c>
      <c r="H42">
        <v>24</v>
      </c>
      <c r="I42">
        <v>41.03</v>
      </c>
      <c r="J42">
        <v>7</v>
      </c>
      <c r="K42">
        <v>1</v>
      </c>
      <c r="L42" t="str">
        <f>IF(tblTickets[[#This Row],[SLA Target (hrs)]]&gt;=tblTickets[[#This Row],[Actual Resolution Time (hrs)]],"Yes","No")</f>
        <v>No</v>
      </c>
      <c r="M42">
        <f>(tblTickets[[#This Row],[Resolved Date]]-tblTickets[[#This Row],[Created Date]])*24</f>
        <v>41.030000000086147</v>
      </c>
      <c r="N42" t="str">
        <f>IF(tblTickets[[#This Row],[Customer Satisfaction]]&gt;=4,"Satisfied",IF(tblTickets[[#This Row],[Customer Satisfaction]]=3,"Neutral","Dissatisfied"))</f>
        <v>Dissatisfied</v>
      </c>
    </row>
    <row r="43" spans="1:14" x14ac:dyDescent="0.35">
      <c r="A43" t="s">
        <v>516</v>
      </c>
      <c r="B43" s="3">
        <v>45743</v>
      </c>
      <c r="C43" s="3">
        <v>45744.71</v>
      </c>
      <c r="D43" t="s">
        <v>12</v>
      </c>
      <c r="E43" t="s">
        <v>13</v>
      </c>
      <c r="F43" t="s">
        <v>14</v>
      </c>
      <c r="G43" t="s">
        <v>21</v>
      </c>
      <c r="H43">
        <v>24</v>
      </c>
      <c r="I43">
        <v>41.04</v>
      </c>
      <c r="J43">
        <v>4.9000000000000004</v>
      </c>
      <c r="K43">
        <v>1</v>
      </c>
      <c r="L43" t="str">
        <f>IF(tblTickets[[#This Row],[SLA Target (hrs)]]&gt;=tblTickets[[#This Row],[Actual Resolution Time (hrs)]],"Yes","No")</f>
        <v>No</v>
      </c>
      <c r="M43">
        <f>(tblTickets[[#This Row],[Resolved Date]]-tblTickets[[#This Row],[Created Date]])*24</f>
        <v>41.039999999979045</v>
      </c>
      <c r="N43" t="str">
        <f>IF(tblTickets[[#This Row],[Customer Satisfaction]]&gt;=4,"Satisfied",IF(tblTickets[[#This Row],[Customer Satisfaction]]=3,"Neutral","Dissatisfied"))</f>
        <v>Dissatisfied</v>
      </c>
    </row>
    <row r="44" spans="1:14" x14ac:dyDescent="0.35">
      <c r="A44" t="s">
        <v>105</v>
      </c>
      <c r="B44" s="3">
        <v>45717</v>
      </c>
      <c r="C44" s="3">
        <v>45718.737916666672</v>
      </c>
      <c r="D44" t="s">
        <v>34</v>
      </c>
      <c r="E44" t="s">
        <v>40</v>
      </c>
      <c r="F44" t="s">
        <v>45</v>
      </c>
      <c r="G44" t="s">
        <v>26</v>
      </c>
      <c r="H44">
        <v>8</v>
      </c>
      <c r="I44">
        <v>41.71</v>
      </c>
      <c r="J44">
        <v>3.66</v>
      </c>
      <c r="K44">
        <v>1</v>
      </c>
      <c r="L44" t="str">
        <f>IF(tblTickets[[#This Row],[SLA Target (hrs)]]&gt;=tblTickets[[#This Row],[Actual Resolution Time (hrs)]],"Yes","No")</f>
        <v>No</v>
      </c>
      <c r="M44">
        <f>(tblTickets[[#This Row],[Resolved Date]]-tblTickets[[#This Row],[Created Date]])*24</f>
        <v>41.71000000013737</v>
      </c>
      <c r="N44" t="str">
        <f>IF(tblTickets[[#This Row],[Customer Satisfaction]]&gt;=4,"Satisfied",IF(tblTickets[[#This Row],[Customer Satisfaction]]=3,"Neutral","Dissatisfied"))</f>
        <v>Dissatisfied</v>
      </c>
    </row>
    <row r="45" spans="1:14" x14ac:dyDescent="0.35">
      <c r="A45" t="s">
        <v>429</v>
      </c>
      <c r="B45" s="3">
        <v>45672</v>
      </c>
      <c r="C45" s="3">
        <v>45673.744583333333</v>
      </c>
      <c r="D45" t="s">
        <v>12</v>
      </c>
      <c r="E45" t="s">
        <v>17</v>
      </c>
      <c r="F45" t="s">
        <v>45</v>
      </c>
      <c r="G45" t="s">
        <v>21</v>
      </c>
      <c r="H45">
        <v>24</v>
      </c>
      <c r="I45">
        <v>41.87</v>
      </c>
      <c r="J45">
        <v>5.56</v>
      </c>
      <c r="K45">
        <v>1</v>
      </c>
      <c r="L45" t="str">
        <f>IF(tblTickets[[#This Row],[SLA Target (hrs)]]&gt;=tblTickets[[#This Row],[Actual Resolution Time (hrs)]],"Yes","No")</f>
        <v>No</v>
      </c>
      <c r="M45">
        <f>(tblTickets[[#This Row],[Resolved Date]]-tblTickets[[#This Row],[Created Date]])*24</f>
        <v>41.869999999995343</v>
      </c>
      <c r="N45" t="str">
        <f>IF(tblTickets[[#This Row],[Customer Satisfaction]]&gt;=4,"Satisfied",IF(tblTickets[[#This Row],[Customer Satisfaction]]=3,"Neutral","Dissatisfied"))</f>
        <v>Dissatisfied</v>
      </c>
    </row>
    <row r="46" spans="1:14" x14ac:dyDescent="0.35">
      <c r="A46" t="s">
        <v>223</v>
      </c>
      <c r="B46" s="3">
        <v>45659</v>
      </c>
      <c r="C46" s="3">
        <v>45660.79583333333</v>
      </c>
      <c r="D46" t="s">
        <v>30</v>
      </c>
      <c r="E46" t="s">
        <v>17</v>
      </c>
      <c r="F46" t="s">
        <v>20</v>
      </c>
      <c r="G46" t="s">
        <v>21</v>
      </c>
      <c r="H46">
        <v>8</v>
      </c>
      <c r="I46">
        <v>43.1</v>
      </c>
      <c r="J46">
        <v>1.03</v>
      </c>
      <c r="K46">
        <v>1</v>
      </c>
      <c r="L46" t="str">
        <f>IF(tblTickets[[#This Row],[SLA Target (hrs)]]&gt;=tblTickets[[#This Row],[Actual Resolution Time (hrs)]],"Yes","No")</f>
        <v>No</v>
      </c>
      <c r="M46">
        <f>(tblTickets[[#This Row],[Resolved Date]]-tblTickets[[#This Row],[Created Date]])*24</f>
        <v>43.099999999918509</v>
      </c>
      <c r="N46" t="str">
        <f>IF(tblTickets[[#This Row],[Customer Satisfaction]]&gt;=4,"Satisfied",IF(tblTickets[[#This Row],[Customer Satisfaction]]=3,"Neutral","Dissatisfied"))</f>
        <v>Dissatisfied</v>
      </c>
    </row>
    <row r="47" spans="1:14" x14ac:dyDescent="0.35">
      <c r="A47" t="s">
        <v>395</v>
      </c>
      <c r="B47" s="3">
        <v>45686</v>
      </c>
      <c r="C47" s="3">
        <v>45687.810833333337</v>
      </c>
      <c r="D47" t="s">
        <v>30</v>
      </c>
      <c r="E47" t="s">
        <v>13</v>
      </c>
      <c r="F47" t="s">
        <v>14</v>
      </c>
      <c r="G47" t="s">
        <v>26</v>
      </c>
      <c r="H47">
        <v>4</v>
      </c>
      <c r="I47">
        <v>43.46</v>
      </c>
      <c r="J47">
        <v>5.21</v>
      </c>
      <c r="K47">
        <v>1</v>
      </c>
      <c r="L47" t="str">
        <f>IF(tblTickets[[#This Row],[SLA Target (hrs)]]&gt;=tblTickets[[#This Row],[Actual Resolution Time (hrs)]],"Yes","No")</f>
        <v>No</v>
      </c>
      <c r="M47">
        <f>(tblTickets[[#This Row],[Resolved Date]]-tblTickets[[#This Row],[Created Date]])*24</f>
        <v>43.460000000079162</v>
      </c>
      <c r="N47" t="str">
        <f>IF(tblTickets[[#This Row],[Customer Satisfaction]]&gt;=4,"Satisfied",IF(tblTickets[[#This Row],[Customer Satisfaction]]=3,"Neutral","Dissatisfied"))</f>
        <v>Dissatisfied</v>
      </c>
    </row>
    <row r="48" spans="1:14" x14ac:dyDescent="0.35">
      <c r="A48" t="s">
        <v>372</v>
      </c>
      <c r="B48" s="3">
        <v>45659</v>
      </c>
      <c r="C48" s="3">
        <v>45660.872916666667</v>
      </c>
      <c r="D48" t="s">
        <v>23</v>
      </c>
      <c r="E48" t="s">
        <v>13</v>
      </c>
      <c r="F48" t="s">
        <v>14</v>
      </c>
      <c r="G48" t="s">
        <v>26</v>
      </c>
      <c r="H48">
        <v>8</v>
      </c>
      <c r="I48">
        <v>44.95</v>
      </c>
      <c r="J48">
        <v>0.62</v>
      </c>
      <c r="K48">
        <v>1</v>
      </c>
      <c r="L48" t="str">
        <f>IF(tblTickets[[#This Row],[SLA Target (hrs)]]&gt;=tblTickets[[#This Row],[Actual Resolution Time (hrs)]],"Yes","No")</f>
        <v>No</v>
      </c>
      <c r="M48">
        <f>(tblTickets[[#This Row],[Resolved Date]]-tblTickets[[#This Row],[Created Date]])*24</f>
        <v>44.950000000011642</v>
      </c>
      <c r="N48" t="str">
        <f>IF(tblTickets[[#This Row],[Customer Satisfaction]]&gt;=4,"Satisfied",IF(tblTickets[[#This Row],[Customer Satisfaction]]=3,"Neutral","Dissatisfied"))</f>
        <v>Dissatisfied</v>
      </c>
    </row>
    <row r="49" spans="1:14" x14ac:dyDescent="0.35">
      <c r="A49" t="s">
        <v>451</v>
      </c>
      <c r="B49" s="3">
        <v>45684</v>
      </c>
      <c r="C49" s="3">
        <v>45685.911666666667</v>
      </c>
      <c r="D49" t="s">
        <v>12</v>
      </c>
      <c r="E49" t="s">
        <v>19</v>
      </c>
      <c r="F49" t="s">
        <v>41</v>
      </c>
      <c r="G49" t="s">
        <v>26</v>
      </c>
      <c r="H49">
        <v>8</v>
      </c>
      <c r="I49">
        <v>45.88</v>
      </c>
      <c r="J49">
        <v>5.08</v>
      </c>
      <c r="K49">
        <v>1</v>
      </c>
      <c r="L49" t="str">
        <f>IF(tblTickets[[#This Row],[SLA Target (hrs)]]&gt;=tblTickets[[#This Row],[Actual Resolution Time (hrs)]],"Yes","No")</f>
        <v>No</v>
      </c>
      <c r="M49">
        <f>(tblTickets[[#This Row],[Resolved Date]]-tblTickets[[#This Row],[Created Date]])*24</f>
        <v>45.880000000004657</v>
      </c>
      <c r="N49" t="str">
        <f>IF(tblTickets[[#This Row],[Customer Satisfaction]]&gt;=4,"Satisfied",IF(tblTickets[[#This Row],[Customer Satisfaction]]=3,"Neutral","Dissatisfied"))</f>
        <v>Dissatisfied</v>
      </c>
    </row>
    <row r="50" spans="1:14" x14ac:dyDescent="0.35">
      <c r="A50" t="s">
        <v>82</v>
      </c>
      <c r="B50" s="3">
        <v>45660</v>
      </c>
      <c r="C50" s="3">
        <v>45661.921249999999</v>
      </c>
      <c r="D50" t="s">
        <v>12</v>
      </c>
      <c r="E50" t="s">
        <v>13</v>
      </c>
      <c r="F50" t="s">
        <v>45</v>
      </c>
      <c r="G50" t="s">
        <v>26</v>
      </c>
      <c r="H50">
        <v>24</v>
      </c>
      <c r="I50">
        <v>46.11</v>
      </c>
      <c r="J50">
        <v>1.27</v>
      </c>
      <c r="K50">
        <v>1</v>
      </c>
      <c r="L50" t="str">
        <f>IF(tblTickets[[#This Row],[SLA Target (hrs)]]&gt;=tblTickets[[#This Row],[Actual Resolution Time (hrs)]],"Yes","No")</f>
        <v>No</v>
      </c>
      <c r="M50">
        <f>(tblTickets[[#This Row],[Resolved Date]]-tblTickets[[#This Row],[Created Date]])*24</f>
        <v>46.10999999998603</v>
      </c>
      <c r="N50" t="str">
        <f>IF(tblTickets[[#This Row],[Customer Satisfaction]]&gt;=4,"Satisfied",IF(tblTickets[[#This Row],[Customer Satisfaction]]=3,"Neutral","Dissatisfied"))</f>
        <v>Dissatisfied</v>
      </c>
    </row>
    <row r="51" spans="1:14" x14ac:dyDescent="0.35">
      <c r="A51" t="s">
        <v>252</v>
      </c>
      <c r="B51" s="3">
        <v>45660</v>
      </c>
      <c r="C51" s="3">
        <v>45661.923333333332</v>
      </c>
      <c r="D51" t="s">
        <v>34</v>
      </c>
      <c r="E51" t="s">
        <v>13</v>
      </c>
      <c r="F51" t="s">
        <v>20</v>
      </c>
      <c r="G51" t="s">
        <v>26</v>
      </c>
      <c r="H51">
        <v>24</v>
      </c>
      <c r="I51">
        <v>46.16</v>
      </c>
      <c r="J51">
        <v>0.96</v>
      </c>
      <c r="K51">
        <v>1</v>
      </c>
      <c r="L51" t="str">
        <f>IF(tblTickets[[#This Row],[SLA Target (hrs)]]&gt;=tblTickets[[#This Row],[Actual Resolution Time (hrs)]],"Yes","No")</f>
        <v>No</v>
      </c>
      <c r="M51">
        <f>(tblTickets[[#This Row],[Resolved Date]]-tblTickets[[#This Row],[Created Date]])*24</f>
        <v>46.159999999974389</v>
      </c>
      <c r="N51" t="str">
        <f>IF(tblTickets[[#This Row],[Customer Satisfaction]]&gt;=4,"Satisfied",IF(tblTickets[[#This Row],[Customer Satisfaction]]=3,"Neutral","Dissatisfied"))</f>
        <v>Dissatisfied</v>
      </c>
    </row>
    <row r="52" spans="1:14" x14ac:dyDescent="0.35">
      <c r="A52" t="s">
        <v>217</v>
      </c>
      <c r="B52" s="3">
        <v>45678</v>
      </c>
      <c r="C52" s="3">
        <v>45679.926249999997</v>
      </c>
      <c r="D52" t="s">
        <v>23</v>
      </c>
      <c r="E52" t="s">
        <v>17</v>
      </c>
      <c r="F52" t="s">
        <v>25</v>
      </c>
      <c r="G52" t="s">
        <v>15</v>
      </c>
      <c r="H52">
        <v>24</v>
      </c>
      <c r="I52">
        <v>46.23</v>
      </c>
      <c r="J52">
        <v>7.43</v>
      </c>
      <c r="K52">
        <v>1</v>
      </c>
      <c r="L52" t="str">
        <f>IF(tblTickets[[#This Row],[SLA Target (hrs)]]&gt;=tblTickets[[#This Row],[Actual Resolution Time (hrs)]],"Yes","No")</f>
        <v>No</v>
      </c>
      <c r="M52">
        <f>(tblTickets[[#This Row],[Resolved Date]]-tblTickets[[#This Row],[Created Date]])*24</f>
        <v>46.229999999923166</v>
      </c>
      <c r="N52" t="str">
        <f>IF(tblTickets[[#This Row],[Customer Satisfaction]]&gt;=4,"Satisfied",IF(tblTickets[[#This Row],[Customer Satisfaction]]=3,"Neutral","Dissatisfied"))</f>
        <v>Dissatisfied</v>
      </c>
    </row>
    <row r="53" spans="1:14" x14ac:dyDescent="0.35">
      <c r="A53" t="s">
        <v>236</v>
      </c>
      <c r="B53" s="3">
        <v>45734</v>
      </c>
      <c r="C53" s="3">
        <v>45735.944166666668</v>
      </c>
      <c r="D53" t="s">
        <v>12</v>
      </c>
      <c r="E53" t="s">
        <v>13</v>
      </c>
      <c r="F53" t="s">
        <v>14</v>
      </c>
      <c r="G53" t="s">
        <v>21</v>
      </c>
      <c r="H53">
        <v>24</v>
      </c>
      <c r="I53">
        <v>46.66</v>
      </c>
      <c r="J53">
        <v>2.85</v>
      </c>
      <c r="K53">
        <v>1</v>
      </c>
      <c r="L53" t="str">
        <f>IF(tblTickets[[#This Row],[SLA Target (hrs)]]&gt;=tblTickets[[#This Row],[Actual Resolution Time (hrs)]],"Yes","No")</f>
        <v>No</v>
      </c>
      <c r="M53">
        <f>(tblTickets[[#This Row],[Resolved Date]]-tblTickets[[#This Row],[Created Date]])*24</f>
        <v>46.660000000032596</v>
      </c>
      <c r="N53" t="str">
        <f>IF(tblTickets[[#This Row],[Customer Satisfaction]]&gt;=4,"Satisfied",IF(tblTickets[[#This Row],[Customer Satisfaction]]=3,"Neutral","Dissatisfied"))</f>
        <v>Dissatisfied</v>
      </c>
    </row>
    <row r="54" spans="1:14" x14ac:dyDescent="0.35">
      <c r="A54" t="s">
        <v>489</v>
      </c>
      <c r="B54" s="3">
        <v>45734</v>
      </c>
      <c r="C54" s="3">
        <v>45735.967083333337</v>
      </c>
      <c r="D54" t="s">
        <v>23</v>
      </c>
      <c r="E54" t="s">
        <v>17</v>
      </c>
      <c r="F54" t="s">
        <v>41</v>
      </c>
      <c r="G54" t="s">
        <v>26</v>
      </c>
      <c r="H54">
        <v>8</v>
      </c>
      <c r="I54">
        <v>47.21</v>
      </c>
      <c r="J54">
        <v>2.4500000000000002</v>
      </c>
      <c r="K54">
        <v>1</v>
      </c>
      <c r="L54" t="str">
        <f>IF(tblTickets[[#This Row],[SLA Target (hrs)]]&gt;=tblTickets[[#This Row],[Actual Resolution Time (hrs)]],"Yes","No")</f>
        <v>No</v>
      </c>
      <c r="M54">
        <f>(tblTickets[[#This Row],[Resolved Date]]-tblTickets[[#This Row],[Created Date]])*24</f>
        <v>47.210000000079162</v>
      </c>
      <c r="N54" t="str">
        <f>IF(tblTickets[[#This Row],[Customer Satisfaction]]&gt;=4,"Satisfied",IF(tblTickets[[#This Row],[Customer Satisfaction]]=3,"Neutral","Dissatisfied"))</f>
        <v>Dissatisfied</v>
      </c>
    </row>
    <row r="55" spans="1:14" x14ac:dyDescent="0.35">
      <c r="A55" t="s">
        <v>404</v>
      </c>
      <c r="B55" s="3">
        <v>45673</v>
      </c>
      <c r="C55" s="3">
        <v>45674.995416666658</v>
      </c>
      <c r="D55" t="s">
        <v>34</v>
      </c>
      <c r="E55" t="s">
        <v>13</v>
      </c>
      <c r="F55" t="s">
        <v>41</v>
      </c>
      <c r="G55" t="s">
        <v>15</v>
      </c>
      <c r="H55">
        <v>24</v>
      </c>
      <c r="I55">
        <v>47.89</v>
      </c>
      <c r="J55">
        <v>2.91</v>
      </c>
      <c r="K55">
        <v>1</v>
      </c>
      <c r="L55" t="str">
        <f>IF(tblTickets[[#This Row],[SLA Target (hrs)]]&gt;=tblTickets[[#This Row],[Actual Resolution Time (hrs)]],"Yes","No")</f>
        <v>No</v>
      </c>
      <c r="M55">
        <f>(tblTickets[[#This Row],[Resolved Date]]-tblTickets[[#This Row],[Created Date]])*24</f>
        <v>47.889999999781139</v>
      </c>
      <c r="N55" t="str">
        <f>IF(tblTickets[[#This Row],[Customer Satisfaction]]&gt;=4,"Satisfied",IF(tblTickets[[#This Row],[Customer Satisfaction]]=3,"Neutral","Dissatisfied"))</f>
        <v>Dissatisfied</v>
      </c>
    </row>
    <row r="56" spans="1:14" x14ac:dyDescent="0.35">
      <c r="A56" t="s">
        <v>521</v>
      </c>
      <c r="B56" s="3">
        <v>45685</v>
      </c>
      <c r="C56" s="3">
        <v>45685.222916666673</v>
      </c>
      <c r="D56" t="s">
        <v>12</v>
      </c>
      <c r="E56" t="s">
        <v>17</v>
      </c>
      <c r="F56" t="s">
        <v>45</v>
      </c>
      <c r="G56" t="s">
        <v>15</v>
      </c>
      <c r="H56">
        <v>4</v>
      </c>
      <c r="I56">
        <v>5.35</v>
      </c>
      <c r="J56">
        <v>2.2999999999999998</v>
      </c>
      <c r="K56">
        <v>1</v>
      </c>
      <c r="L56" t="str">
        <f>IF(tblTickets[[#This Row],[SLA Target (hrs)]]&gt;=tblTickets[[#This Row],[Actual Resolution Time (hrs)]],"Yes","No")</f>
        <v>No</v>
      </c>
      <c r="M56">
        <f>(tblTickets[[#This Row],[Resolved Date]]-tblTickets[[#This Row],[Created Date]])*24</f>
        <v>5.3500000001513399</v>
      </c>
      <c r="N56" t="str">
        <f>IF(tblTickets[[#This Row],[Customer Satisfaction]]&gt;=4,"Satisfied",IF(tblTickets[[#This Row],[Customer Satisfaction]]=3,"Neutral","Dissatisfied"))</f>
        <v>Dissatisfied</v>
      </c>
    </row>
    <row r="57" spans="1:14" x14ac:dyDescent="0.35">
      <c r="A57" t="s">
        <v>415</v>
      </c>
      <c r="B57" s="3">
        <v>45724</v>
      </c>
      <c r="C57" s="3">
        <v>45724.27416666667</v>
      </c>
      <c r="D57" t="s">
        <v>34</v>
      </c>
      <c r="E57" t="s">
        <v>40</v>
      </c>
      <c r="F57" t="s">
        <v>20</v>
      </c>
      <c r="G57" t="s">
        <v>15</v>
      </c>
      <c r="H57">
        <v>4</v>
      </c>
      <c r="I57">
        <v>6.58</v>
      </c>
      <c r="J57">
        <v>4.84</v>
      </c>
      <c r="K57">
        <v>1</v>
      </c>
      <c r="L57" t="str">
        <f>IF(tblTickets[[#This Row],[SLA Target (hrs)]]&gt;=tblTickets[[#This Row],[Actual Resolution Time (hrs)]],"Yes","No")</f>
        <v>No</v>
      </c>
      <c r="M57">
        <f>(tblTickets[[#This Row],[Resolved Date]]-tblTickets[[#This Row],[Created Date]])*24</f>
        <v>6.5800000000745058</v>
      </c>
      <c r="N57" t="str">
        <f>IF(tblTickets[[#This Row],[Customer Satisfaction]]&gt;=4,"Satisfied",IF(tblTickets[[#This Row],[Customer Satisfaction]]=3,"Neutral","Dissatisfied"))</f>
        <v>Dissatisfied</v>
      </c>
    </row>
    <row r="58" spans="1:14" x14ac:dyDescent="0.35">
      <c r="A58" t="s">
        <v>111</v>
      </c>
      <c r="B58" s="3">
        <v>45677</v>
      </c>
      <c r="C58" s="3">
        <v>45677.402499999997</v>
      </c>
      <c r="D58" t="s">
        <v>34</v>
      </c>
      <c r="E58" t="s">
        <v>19</v>
      </c>
      <c r="F58" t="s">
        <v>25</v>
      </c>
      <c r="G58" t="s">
        <v>15</v>
      </c>
      <c r="H58">
        <v>4</v>
      </c>
      <c r="I58">
        <v>9.66</v>
      </c>
      <c r="J58">
        <v>1.65</v>
      </c>
      <c r="K58">
        <v>1</v>
      </c>
      <c r="L58" t="str">
        <f>IF(tblTickets[[#This Row],[SLA Target (hrs)]]&gt;=tblTickets[[#This Row],[Actual Resolution Time (hrs)]],"Yes","No")</f>
        <v>No</v>
      </c>
      <c r="M58">
        <f>(tblTickets[[#This Row],[Resolved Date]]-tblTickets[[#This Row],[Created Date]])*24</f>
        <v>9.659999999916181</v>
      </c>
      <c r="N58" t="str">
        <f>IF(tblTickets[[#This Row],[Customer Satisfaction]]&gt;=4,"Satisfied",IF(tblTickets[[#This Row],[Customer Satisfaction]]=3,"Neutral","Dissatisfied"))</f>
        <v>Dissatisfied</v>
      </c>
    </row>
    <row r="59" spans="1:14" x14ac:dyDescent="0.35">
      <c r="A59" t="s">
        <v>475</v>
      </c>
      <c r="B59" s="3">
        <v>45681</v>
      </c>
      <c r="C59" s="3">
        <v>45681.411666666667</v>
      </c>
      <c r="D59" t="s">
        <v>23</v>
      </c>
      <c r="E59" t="s">
        <v>19</v>
      </c>
      <c r="F59" t="s">
        <v>20</v>
      </c>
      <c r="G59" t="s">
        <v>26</v>
      </c>
      <c r="H59">
        <v>4</v>
      </c>
      <c r="I59">
        <v>9.8800000000000008</v>
      </c>
      <c r="J59">
        <v>3.67</v>
      </c>
      <c r="K59">
        <v>1</v>
      </c>
      <c r="L59" t="str">
        <f>IF(tblTickets[[#This Row],[SLA Target (hrs)]]&gt;=tblTickets[[#This Row],[Actual Resolution Time (hrs)]],"Yes","No")</f>
        <v>No</v>
      </c>
      <c r="M59">
        <f>(tblTickets[[#This Row],[Resolved Date]]-tblTickets[[#This Row],[Created Date]])*24</f>
        <v>9.8800000000046566</v>
      </c>
      <c r="N59" t="str">
        <f>IF(tblTickets[[#This Row],[Customer Satisfaction]]&gt;=4,"Satisfied",IF(tblTickets[[#This Row],[Customer Satisfaction]]=3,"Neutral","Dissatisfied"))</f>
        <v>Dissatisfied</v>
      </c>
    </row>
    <row r="60" spans="1:14" x14ac:dyDescent="0.35">
      <c r="A60" t="s">
        <v>356</v>
      </c>
      <c r="B60" s="3">
        <v>45682</v>
      </c>
      <c r="C60" s="3">
        <v>45682.412083333344</v>
      </c>
      <c r="D60" t="s">
        <v>12</v>
      </c>
      <c r="E60" t="s">
        <v>17</v>
      </c>
      <c r="F60" t="s">
        <v>20</v>
      </c>
      <c r="G60" t="s">
        <v>26</v>
      </c>
      <c r="H60">
        <v>8</v>
      </c>
      <c r="I60">
        <v>9.89</v>
      </c>
      <c r="J60">
        <v>8</v>
      </c>
      <c r="K60">
        <v>1</v>
      </c>
      <c r="L60" t="str">
        <f>IF(tblTickets[[#This Row],[SLA Target (hrs)]]&gt;=tblTickets[[#This Row],[Actual Resolution Time (hrs)]],"Yes","No")</f>
        <v>No</v>
      </c>
      <c r="M60">
        <f>(tblTickets[[#This Row],[Resolved Date]]-tblTickets[[#This Row],[Created Date]])*24</f>
        <v>9.8900000002468005</v>
      </c>
      <c r="N60" t="str">
        <f>IF(tblTickets[[#This Row],[Customer Satisfaction]]&gt;=4,"Satisfied",IF(tblTickets[[#This Row],[Customer Satisfaction]]=3,"Neutral","Dissatisfied"))</f>
        <v>Dissatisfied</v>
      </c>
    </row>
    <row r="61" spans="1:14" x14ac:dyDescent="0.35">
      <c r="A61" t="s">
        <v>18</v>
      </c>
      <c r="B61" s="3">
        <v>45658</v>
      </c>
      <c r="C61" s="3">
        <v>45658.455833333333</v>
      </c>
      <c r="D61" t="s">
        <v>12</v>
      </c>
      <c r="E61" t="s">
        <v>19</v>
      </c>
      <c r="F61" t="s">
        <v>20</v>
      </c>
      <c r="G61" t="s">
        <v>21</v>
      </c>
      <c r="H61">
        <v>4</v>
      </c>
      <c r="I61">
        <v>10.94</v>
      </c>
      <c r="J61">
        <v>3.38</v>
      </c>
      <c r="K61">
        <v>1</v>
      </c>
      <c r="L61" t="str">
        <f>IF(tblTickets[[#This Row],[SLA Target (hrs)]]&gt;=tblTickets[[#This Row],[Actual Resolution Time (hrs)]],"Yes","No")</f>
        <v>No</v>
      </c>
      <c r="M61">
        <f>(tblTickets[[#This Row],[Resolved Date]]-tblTickets[[#This Row],[Created Date]])*24</f>
        <v>10.940000000002328</v>
      </c>
      <c r="N61" t="str">
        <f>IF(tblTickets[[#This Row],[Customer Satisfaction]]&gt;=4,"Satisfied",IF(tblTickets[[#This Row],[Customer Satisfaction]]=3,"Neutral","Dissatisfied"))</f>
        <v>Dissatisfied</v>
      </c>
    </row>
    <row r="62" spans="1:14" x14ac:dyDescent="0.35">
      <c r="A62" t="s">
        <v>166</v>
      </c>
      <c r="B62" s="3">
        <v>45739</v>
      </c>
      <c r="C62" s="3">
        <v>45739.488749999997</v>
      </c>
      <c r="D62" t="s">
        <v>30</v>
      </c>
      <c r="E62" t="s">
        <v>13</v>
      </c>
      <c r="F62" t="s">
        <v>14</v>
      </c>
      <c r="G62" t="s">
        <v>21</v>
      </c>
      <c r="H62">
        <v>4</v>
      </c>
      <c r="I62">
        <v>11.73</v>
      </c>
      <c r="J62">
        <v>0.52</v>
      </c>
      <c r="K62">
        <v>1</v>
      </c>
      <c r="L62" t="str">
        <f>IF(tblTickets[[#This Row],[SLA Target (hrs)]]&gt;=tblTickets[[#This Row],[Actual Resolution Time (hrs)]],"Yes","No")</f>
        <v>No</v>
      </c>
      <c r="M62">
        <f>(tblTickets[[#This Row],[Resolved Date]]-tblTickets[[#This Row],[Created Date]])*24</f>
        <v>11.729999999923166</v>
      </c>
      <c r="N62" t="str">
        <f>IF(tblTickets[[#This Row],[Customer Satisfaction]]&gt;=4,"Satisfied",IF(tblTickets[[#This Row],[Customer Satisfaction]]=3,"Neutral","Dissatisfied"))</f>
        <v>Dissatisfied</v>
      </c>
    </row>
    <row r="63" spans="1:14" x14ac:dyDescent="0.35">
      <c r="A63" t="s">
        <v>183</v>
      </c>
      <c r="B63" s="3">
        <v>45660</v>
      </c>
      <c r="C63" s="3">
        <v>45660.516250000001</v>
      </c>
      <c r="D63" t="s">
        <v>23</v>
      </c>
      <c r="E63" t="s">
        <v>19</v>
      </c>
      <c r="F63" t="s">
        <v>20</v>
      </c>
      <c r="G63" t="s">
        <v>21</v>
      </c>
      <c r="H63">
        <v>4</v>
      </c>
      <c r="I63">
        <v>12.39</v>
      </c>
      <c r="J63">
        <v>2.0099999999999998</v>
      </c>
      <c r="K63">
        <v>1</v>
      </c>
      <c r="L63" t="str">
        <f>IF(tblTickets[[#This Row],[SLA Target (hrs)]]&gt;=tblTickets[[#This Row],[Actual Resolution Time (hrs)]],"Yes","No")</f>
        <v>No</v>
      </c>
      <c r="M63">
        <f>(tblTickets[[#This Row],[Resolved Date]]-tblTickets[[#This Row],[Created Date]])*24</f>
        <v>12.39000000001397</v>
      </c>
      <c r="N63" t="str">
        <f>IF(tblTickets[[#This Row],[Customer Satisfaction]]&gt;=4,"Satisfied",IF(tblTickets[[#This Row],[Customer Satisfaction]]=3,"Neutral","Dissatisfied"))</f>
        <v>Dissatisfied</v>
      </c>
    </row>
    <row r="64" spans="1:14" x14ac:dyDescent="0.35">
      <c r="A64" t="s">
        <v>156</v>
      </c>
      <c r="B64" s="3">
        <v>45738</v>
      </c>
      <c r="C64" s="3">
        <v>45738.546249999999</v>
      </c>
      <c r="D64" t="s">
        <v>30</v>
      </c>
      <c r="E64" t="s">
        <v>13</v>
      </c>
      <c r="F64" t="s">
        <v>14</v>
      </c>
      <c r="G64" t="s">
        <v>26</v>
      </c>
      <c r="H64">
        <v>4</v>
      </c>
      <c r="I64">
        <v>13.11</v>
      </c>
      <c r="J64">
        <v>5.92</v>
      </c>
      <c r="K64">
        <v>1</v>
      </c>
      <c r="L64" t="str">
        <f>IF(tblTickets[[#This Row],[SLA Target (hrs)]]&gt;=tblTickets[[#This Row],[Actual Resolution Time (hrs)]],"Yes","No")</f>
        <v>No</v>
      </c>
      <c r="M64">
        <f>(tblTickets[[#This Row],[Resolved Date]]-tblTickets[[#This Row],[Created Date]])*24</f>
        <v>13.10999999998603</v>
      </c>
      <c r="N64" t="str">
        <f>IF(tblTickets[[#This Row],[Customer Satisfaction]]&gt;=4,"Satisfied",IF(tblTickets[[#This Row],[Customer Satisfaction]]=3,"Neutral","Dissatisfied"))</f>
        <v>Dissatisfied</v>
      </c>
    </row>
    <row r="65" spans="1:14" x14ac:dyDescent="0.35">
      <c r="A65" t="s">
        <v>443</v>
      </c>
      <c r="B65" s="3">
        <v>45721</v>
      </c>
      <c r="C65" s="3">
        <v>45721.559166666673</v>
      </c>
      <c r="D65" t="s">
        <v>12</v>
      </c>
      <c r="E65" t="s">
        <v>40</v>
      </c>
      <c r="F65" t="s">
        <v>45</v>
      </c>
      <c r="G65" t="s">
        <v>15</v>
      </c>
      <c r="H65">
        <v>8</v>
      </c>
      <c r="I65">
        <v>13.42</v>
      </c>
      <c r="J65">
        <v>0.82</v>
      </c>
      <c r="K65">
        <v>1</v>
      </c>
      <c r="L65" t="str">
        <f>IF(tblTickets[[#This Row],[SLA Target (hrs)]]&gt;=tblTickets[[#This Row],[Actual Resolution Time (hrs)]],"Yes","No")</f>
        <v>No</v>
      </c>
      <c r="M65">
        <f>(tblTickets[[#This Row],[Resolved Date]]-tblTickets[[#This Row],[Created Date]])*24</f>
        <v>13.420000000158325</v>
      </c>
      <c r="N65" t="str">
        <f>IF(tblTickets[[#This Row],[Customer Satisfaction]]&gt;=4,"Satisfied",IF(tblTickets[[#This Row],[Customer Satisfaction]]=3,"Neutral","Dissatisfied"))</f>
        <v>Dissatisfied</v>
      </c>
    </row>
    <row r="66" spans="1:14" x14ac:dyDescent="0.35">
      <c r="A66" t="s">
        <v>339</v>
      </c>
      <c r="B66" s="3">
        <v>45704</v>
      </c>
      <c r="C66" s="3">
        <v>45704.582499999997</v>
      </c>
      <c r="D66" t="s">
        <v>34</v>
      </c>
      <c r="E66" t="s">
        <v>19</v>
      </c>
      <c r="F66" t="s">
        <v>25</v>
      </c>
      <c r="G66" t="s">
        <v>21</v>
      </c>
      <c r="H66">
        <v>8</v>
      </c>
      <c r="I66">
        <v>13.98</v>
      </c>
      <c r="J66">
        <v>4.42</v>
      </c>
      <c r="K66">
        <v>1</v>
      </c>
      <c r="L66" t="str">
        <f>IF(tblTickets[[#This Row],[SLA Target (hrs)]]&gt;=tblTickets[[#This Row],[Actual Resolution Time (hrs)]],"Yes","No")</f>
        <v>No</v>
      </c>
      <c r="M66">
        <f>(tblTickets[[#This Row],[Resolved Date]]-tblTickets[[#This Row],[Created Date]])*24</f>
        <v>13.979999999923166</v>
      </c>
      <c r="N66" t="str">
        <f>IF(tblTickets[[#This Row],[Customer Satisfaction]]&gt;=4,"Satisfied",IF(tblTickets[[#This Row],[Customer Satisfaction]]=3,"Neutral","Dissatisfied"))</f>
        <v>Dissatisfied</v>
      </c>
    </row>
    <row r="67" spans="1:14" x14ac:dyDescent="0.35">
      <c r="A67" t="s">
        <v>275</v>
      </c>
      <c r="B67" s="3">
        <v>45708</v>
      </c>
      <c r="C67" s="3">
        <v>45708.584166666667</v>
      </c>
      <c r="D67" t="s">
        <v>12</v>
      </c>
      <c r="E67" t="s">
        <v>19</v>
      </c>
      <c r="F67" t="s">
        <v>45</v>
      </c>
      <c r="G67" t="s">
        <v>21</v>
      </c>
      <c r="H67">
        <v>8</v>
      </c>
      <c r="I67">
        <v>14.02</v>
      </c>
      <c r="J67">
        <v>2.92</v>
      </c>
      <c r="K67">
        <v>1</v>
      </c>
      <c r="L67" t="str">
        <f>IF(tblTickets[[#This Row],[SLA Target (hrs)]]&gt;=tblTickets[[#This Row],[Actual Resolution Time (hrs)]],"Yes","No")</f>
        <v>No</v>
      </c>
      <c r="M67">
        <f>(tblTickets[[#This Row],[Resolved Date]]-tblTickets[[#This Row],[Created Date]])*24</f>
        <v>14.020000000018626</v>
      </c>
      <c r="N67" t="str">
        <f>IF(tblTickets[[#This Row],[Customer Satisfaction]]&gt;=4,"Satisfied",IF(tblTickets[[#This Row],[Customer Satisfaction]]=3,"Neutral","Dissatisfied"))</f>
        <v>Dissatisfied</v>
      </c>
    </row>
    <row r="68" spans="1:14" x14ac:dyDescent="0.35">
      <c r="A68" t="s">
        <v>458</v>
      </c>
      <c r="B68" s="3">
        <v>45704</v>
      </c>
      <c r="C68" s="3">
        <v>45704.588333333333</v>
      </c>
      <c r="D68" t="s">
        <v>34</v>
      </c>
      <c r="E68" t="s">
        <v>13</v>
      </c>
      <c r="F68" t="s">
        <v>14</v>
      </c>
      <c r="G68" t="s">
        <v>21</v>
      </c>
      <c r="H68">
        <v>8</v>
      </c>
      <c r="I68">
        <v>14.12</v>
      </c>
      <c r="J68">
        <v>2.13</v>
      </c>
      <c r="K68">
        <v>1</v>
      </c>
      <c r="L68" t="str">
        <f>IF(tblTickets[[#This Row],[SLA Target (hrs)]]&gt;=tblTickets[[#This Row],[Actual Resolution Time (hrs)]],"Yes","No")</f>
        <v>No</v>
      </c>
      <c r="M68">
        <f>(tblTickets[[#This Row],[Resolved Date]]-tblTickets[[#This Row],[Created Date]])*24</f>
        <v>14.119999999995343</v>
      </c>
      <c r="N68" t="str">
        <f>IF(tblTickets[[#This Row],[Customer Satisfaction]]&gt;=4,"Satisfied",IF(tblTickets[[#This Row],[Customer Satisfaction]]=3,"Neutral","Dissatisfied"))</f>
        <v>Dissatisfied</v>
      </c>
    </row>
    <row r="69" spans="1:14" x14ac:dyDescent="0.35">
      <c r="A69" t="s">
        <v>55</v>
      </c>
      <c r="B69" s="3">
        <v>45711</v>
      </c>
      <c r="C69" s="3">
        <v>45711.604583333326</v>
      </c>
      <c r="D69" t="s">
        <v>30</v>
      </c>
      <c r="E69" t="s">
        <v>19</v>
      </c>
      <c r="F69" t="s">
        <v>14</v>
      </c>
      <c r="G69" t="s">
        <v>15</v>
      </c>
      <c r="H69">
        <v>4</v>
      </c>
      <c r="I69">
        <v>14.51</v>
      </c>
      <c r="J69">
        <v>1.1399999999999999</v>
      </c>
      <c r="K69">
        <v>1</v>
      </c>
      <c r="L69" t="str">
        <f>IF(tblTickets[[#This Row],[SLA Target (hrs)]]&gt;=tblTickets[[#This Row],[Actual Resolution Time (hrs)]],"Yes","No")</f>
        <v>No</v>
      </c>
      <c r="M69">
        <f>(tblTickets[[#This Row],[Resolved Date]]-tblTickets[[#This Row],[Created Date]])*24</f>
        <v>14.50999999983469</v>
      </c>
      <c r="N69" t="str">
        <f>IF(tblTickets[[#This Row],[Customer Satisfaction]]&gt;=4,"Satisfied",IF(tblTickets[[#This Row],[Customer Satisfaction]]=3,"Neutral","Dissatisfied"))</f>
        <v>Dissatisfied</v>
      </c>
    </row>
    <row r="70" spans="1:14" x14ac:dyDescent="0.35">
      <c r="A70" t="s">
        <v>243</v>
      </c>
      <c r="B70" s="3">
        <v>45742</v>
      </c>
      <c r="C70" s="3">
        <v>45742.657500000001</v>
      </c>
      <c r="D70" t="s">
        <v>34</v>
      </c>
      <c r="E70" t="s">
        <v>19</v>
      </c>
      <c r="F70" t="s">
        <v>41</v>
      </c>
      <c r="G70" t="s">
        <v>26</v>
      </c>
      <c r="H70">
        <v>8</v>
      </c>
      <c r="I70">
        <v>15.78</v>
      </c>
      <c r="J70">
        <v>2.84</v>
      </c>
      <c r="K70">
        <v>1</v>
      </c>
      <c r="L70" t="str">
        <f>IF(tblTickets[[#This Row],[SLA Target (hrs)]]&gt;=tblTickets[[#This Row],[Actual Resolution Time (hrs)]],"Yes","No")</f>
        <v>No</v>
      </c>
      <c r="M70">
        <f>(tblTickets[[#This Row],[Resolved Date]]-tblTickets[[#This Row],[Created Date]])*24</f>
        <v>15.78000000002794</v>
      </c>
      <c r="N70" t="str">
        <f>IF(tblTickets[[#This Row],[Customer Satisfaction]]&gt;=4,"Satisfied",IF(tblTickets[[#This Row],[Customer Satisfaction]]=3,"Neutral","Dissatisfied"))</f>
        <v>Dissatisfied</v>
      </c>
    </row>
    <row r="71" spans="1:14" x14ac:dyDescent="0.35">
      <c r="A71" t="s">
        <v>448</v>
      </c>
      <c r="B71" s="3">
        <v>45676</v>
      </c>
      <c r="C71" s="3">
        <v>45676.664166666669</v>
      </c>
      <c r="D71" t="s">
        <v>12</v>
      </c>
      <c r="E71" t="s">
        <v>19</v>
      </c>
      <c r="F71" t="s">
        <v>25</v>
      </c>
      <c r="G71" t="s">
        <v>21</v>
      </c>
      <c r="H71">
        <v>8</v>
      </c>
      <c r="I71">
        <v>15.94</v>
      </c>
      <c r="J71">
        <v>3.91</v>
      </c>
      <c r="K71">
        <v>1</v>
      </c>
      <c r="L71" t="str">
        <f>IF(tblTickets[[#This Row],[SLA Target (hrs)]]&gt;=tblTickets[[#This Row],[Actual Resolution Time (hrs)]],"Yes","No")</f>
        <v>No</v>
      </c>
      <c r="M71">
        <f>(tblTickets[[#This Row],[Resolved Date]]-tblTickets[[#This Row],[Created Date]])*24</f>
        <v>15.940000000060536</v>
      </c>
      <c r="N71" t="str">
        <f>IF(tblTickets[[#This Row],[Customer Satisfaction]]&gt;=4,"Satisfied",IF(tblTickets[[#This Row],[Customer Satisfaction]]=3,"Neutral","Dissatisfied"))</f>
        <v>Dissatisfied</v>
      </c>
    </row>
    <row r="72" spans="1:14" x14ac:dyDescent="0.35">
      <c r="A72" t="s">
        <v>199</v>
      </c>
      <c r="B72" s="3">
        <v>45699</v>
      </c>
      <c r="C72" s="3">
        <v>45699.708749999998</v>
      </c>
      <c r="D72" t="s">
        <v>30</v>
      </c>
      <c r="E72" t="s">
        <v>19</v>
      </c>
      <c r="F72" t="s">
        <v>14</v>
      </c>
      <c r="G72" t="s">
        <v>21</v>
      </c>
      <c r="H72">
        <v>4</v>
      </c>
      <c r="I72">
        <v>17.010000000000002</v>
      </c>
      <c r="J72">
        <v>5.57</v>
      </c>
      <c r="K72">
        <v>1</v>
      </c>
      <c r="L72" t="str">
        <f>IF(tblTickets[[#This Row],[SLA Target (hrs)]]&gt;=tblTickets[[#This Row],[Actual Resolution Time (hrs)]],"Yes","No")</f>
        <v>No</v>
      </c>
      <c r="M72">
        <f>(tblTickets[[#This Row],[Resolved Date]]-tblTickets[[#This Row],[Created Date]])*24</f>
        <v>17.009999999951106</v>
      </c>
      <c r="N72" t="str">
        <f>IF(tblTickets[[#This Row],[Customer Satisfaction]]&gt;=4,"Satisfied",IF(tblTickets[[#This Row],[Customer Satisfaction]]=3,"Neutral","Dissatisfied"))</f>
        <v>Dissatisfied</v>
      </c>
    </row>
    <row r="73" spans="1:14" x14ac:dyDescent="0.35">
      <c r="A73" t="s">
        <v>68</v>
      </c>
      <c r="B73" s="3">
        <v>45734</v>
      </c>
      <c r="C73" s="3">
        <v>45734.728333333333</v>
      </c>
      <c r="D73" t="s">
        <v>23</v>
      </c>
      <c r="E73" t="s">
        <v>19</v>
      </c>
      <c r="F73" t="s">
        <v>20</v>
      </c>
      <c r="G73" t="s">
        <v>21</v>
      </c>
      <c r="H73">
        <v>8</v>
      </c>
      <c r="I73">
        <v>17.48</v>
      </c>
      <c r="J73">
        <v>3.1</v>
      </c>
      <c r="K73">
        <v>1</v>
      </c>
      <c r="L73" t="str">
        <f>IF(tblTickets[[#This Row],[SLA Target (hrs)]]&gt;=tblTickets[[#This Row],[Actual Resolution Time (hrs)]],"Yes","No")</f>
        <v>No</v>
      </c>
      <c r="M73">
        <f>(tblTickets[[#This Row],[Resolved Date]]-tblTickets[[#This Row],[Created Date]])*24</f>
        <v>17.479999999981374</v>
      </c>
      <c r="N73" t="str">
        <f>IF(tblTickets[[#This Row],[Customer Satisfaction]]&gt;=4,"Satisfied",IF(tblTickets[[#This Row],[Customer Satisfaction]]=3,"Neutral","Dissatisfied"))</f>
        <v>Dissatisfied</v>
      </c>
    </row>
    <row r="74" spans="1:14" x14ac:dyDescent="0.35">
      <c r="A74" t="s">
        <v>523</v>
      </c>
      <c r="B74" s="3">
        <v>45718</v>
      </c>
      <c r="C74" s="3">
        <v>45718.730416666673</v>
      </c>
      <c r="D74" t="s">
        <v>30</v>
      </c>
      <c r="E74" t="s">
        <v>13</v>
      </c>
      <c r="F74" t="s">
        <v>14</v>
      </c>
      <c r="G74" t="s">
        <v>21</v>
      </c>
      <c r="H74">
        <v>8</v>
      </c>
      <c r="I74">
        <v>17.53</v>
      </c>
      <c r="J74">
        <v>3.42</v>
      </c>
      <c r="K74">
        <v>1</v>
      </c>
      <c r="L74" t="str">
        <f>IF(tblTickets[[#This Row],[SLA Target (hrs)]]&gt;=tblTickets[[#This Row],[Actual Resolution Time (hrs)]],"Yes","No")</f>
        <v>No</v>
      </c>
      <c r="M74">
        <f>(tblTickets[[#This Row],[Resolved Date]]-tblTickets[[#This Row],[Created Date]])*24</f>
        <v>17.530000000144355</v>
      </c>
      <c r="N74" t="str">
        <f>IF(tblTickets[[#This Row],[Customer Satisfaction]]&gt;=4,"Satisfied",IF(tblTickets[[#This Row],[Customer Satisfaction]]=3,"Neutral","Dissatisfied"))</f>
        <v>Dissatisfied</v>
      </c>
    </row>
    <row r="75" spans="1:14" x14ac:dyDescent="0.35">
      <c r="A75" t="s">
        <v>153</v>
      </c>
      <c r="B75" s="3">
        <v>45721</v>
      </c>
      <c r="C75" s="3">
        <v>45721.79583333333</v>
      </c>
      <c r="D75" t="s">
        <v>30</v>
      </c>
      <c r="E75" t="s">
        <v>13</v>
      </c>
      <c r="F75" t="s">
        <v>20</v>
      </c>
      <c r="G75" t="s">
        <v>15</v>
      </c>
      <c r="H75">
        <v>8</v>
      </c>
      <c r="I75">
        <v>19.100000000000001</v>
      </c>
      <c r="J75">
        <v>1.67</v>
      </c>
      <c r="K75">
        <v>1</v>
      </c>
      <c r="L75" t="str">
        <f>IF(tblTickets[[#This Row],[SLA Target (hrs)]]&gt;=tblTickets[[#This Row],[Actual Resolution Time (hrs)]],"Yes","No")</f>
        <v>No</v>
      </c>
      <c r="M75">
        <f>(tblTickets[[#This Row],[Resolved Date]]-tblTickets[[#This Row],[Created Date]])*24</f>
        <v>19.099999999918509</v>
      </c>
      <c r="N75" t="str">
        <f>IF(tblTickets[[#This Row],[Customer Satisfaction]]&gt;=4,"Satisfied",IF(tblTickets[[#This Row],[Customer Satisfaction]]=3,"Neutral","Dissatisfied"))</f>
        <v>Dissatisfied</v>
      </c>
    </row>
    <row r="76" spans="1:14" x14ac:dyDescent="0.35">
      <c r="A76" t="s">
        <v>367</v>
      </c>
      <c r="B76" s="3">
        <v>45735</v>
      </c>
      <c r="C76" s="3">
        <v>45735.805833333332</v>
      </c>
      <c r="D76" t="s">
        <v>30</v>
      </c>
      <c r="E76" t="s">
        <v>19</v>
      </c>
      <c r="F76" t="s">
        <v>20</v>
      </c>
      <c r="G76" t="s">
        <v>26</v>
      </c>
      <c r="H76">
        <v>4</v>
      </c>
      <c r="I76">
        <v>19.34</v>
      </c>
      <c r="J76">
        <v>3.59</v>
      </c>
      <c r="K76">
        <v>1</v>
      </c>
      <c r="L76" t="str">
        <f>IF(tblTickets[[#This Row],[SLA Target (hrs)]]&gt;=tblTickets[[#This Row],[Actual Resolution Time (hrs)]],"Yes","No")</f>
        <v>No</v>
      </c>
      <c r="M76">
        <f>(tblTickets[[#This Row],[Resolved Date]]-tblTickets[[#This Row],[Created Date]])*24</f>
        <v>19.339999999967404</v>
      </c>
      <c r="N76" t="str">
        <f>IF(tblTickets[[#This Row],[Customer Satisfaction]]&gt;=4,"Satisfied",IF(tblTickets[[#This Row],[Customer Satisfaction]]=3,"Neutral","Dissatisfied"))</f>
        <v>Dissatisfied</v>
      </c>
    </row>
    <row r="77" spans="1:14" x14ac:dyDescent="0.35">
      <c r="A77" t="s">
        <v>271</v>
      </c>
      <c r="B77" s="3">
        <v>45726</v>
      </c>
      <c r="C77" s="3">
        <v>45726.810416666667</v>
      </c>
      <c r="D77" t="s">
        <v>30</v>
      </c>
      <c r="E77" t="s">
        <v>40</v>
      </c>
      <c r="F77" t="s">
        <v>25</v>
      </c>
      <c r="G77" t="s">
        <v>26</v>
      </c>
      <c r="H77">
        <v>4</v>
      </c>
      <c r="I77">
        <v>19.45</v>
      </c>
      <c r="J77">
        <v>5.32</v>
      </c>
      <c r="K77">
        <v>1</v>
      </c>
      <c r="L77" t="str">
        <f>IF(tblTickets[[#This Row],[SLA Target (hrs)]]&gt;=tblTickets[[#This Row],[Actual Resolution Time (hrs)]],"Yes","No")</f>
        <v>No</v>
      </c>
      <c r="M77">
        <f>(tblTickets[[#This Row],[Resolved Date]]-tblTickets[[#This Row],[Created Date]])*24</f>
        <v>19.450000000011642</v>
      </c>
      <c r="N77" t="str">
        <f>IF(tblTickets[[#This Row],[Customer Satisfaction]]&gt;=4,"Satisfied",IF(tblTickets[[#This Row],[Customer Satisfaction]]=3,"Neutral","Dissatisfied"))</f>
        <v>Dissatisfied</v>
      </c>
    </row>
    <row r="78" spans="1:14" x14ac:dyDescent="0.35">
      <c r="A78" t="s">
        <v>319</v>
      </c>
      <c r="B78" s="3">
        <v>45676</v>
      </c>
      <c r="C78" s="3">
        <v>45676.850416666668</v>
      </c>
      <c r="D78" t="s">
        <v>30</v>
      </c>
      <c r="E78" t="s">
        <v>17</v>
      </c>
      <c r="F78" t="s">
        <v>25</v>
      </c>
      <c r="G78" t="s">
        <v>26</v>
      </c>
      <c r="H78">
        <v>4</v>
      </c>
      <c r="I78">
        <v>20.41</v>
      </c>
      <c r="J78">
        <v>4.3099999999999996</v>
      </c>
      <c r="K78">
        <v>1</v>
      </c>
      <c r="L78" t="str">
        <f>IF(tblTickets[[#This Row],[SLA Target (hrs)]]&gt;=tblTickets[[#This Row],[Actual Resolution Time (hrs)]],"Yes","No")</f>
        <v>No</v>
      </c>
      <c r="M78">
        <f>(tblTickets[[#This Row],[Resolved Date]]-tblTickets[[#This Row],[Created Date]])*24</f>
        <v>20.410000000032596</v>
      </c>
      <c r="N78" t="str">
        <f>IF(tblTickets[[#This Row],[Customer Satisfaction]]&gt;=4,"Satisfied",IF(tblTickets[[#This Row],[Customer Satisfaction]]=3,"Neutral","Dissatisfied"))</f>
        <v>Dissatisfied</v>
      </c>
    </row>
    <row r="79" spans="1:14" x14ac:dyDescent="0.35">
      <c r="A79" t="s">
        <v>188</v>
      </c>
      <c r="B79" s="3">
        <v>45690</v>
      </c>
      <c r="C79" s="3">
        <v>45690.85125</v>
      </c>
      <c r="D79" t="s">
        <v>34</v>
      </c>
      <c r="E79" t="s">
        <v>17</v>
      </c>
      <c r="F79" t="s">
        <v>41</v>
      </c>
      <c r="G79" t="s">
        <v>26</v>
      </c>
      <c r="H79">
        <v>4</v>
      </c>
      <c r="I79">
        <v>20.43</v>
      </c>
      <c r="J79">
        <v>7.98</v>
      </c>
      <c r="K79">
        <v>1</v>
      </c>
      <c r="L79" t="str">
        <f>IF(tblTickets[[#This Row],[SLA Target (hrs)]]&gt;=tblTickets[[#This Row],[Actual Resolution Time (hrs)]],"Yes","No")</f>
        <v>No</v>
      </c>
      <c r="M79">
        <f>(tblTickets[[#This Row],[Resolved Date]]-tblTickets[[#This Row],[Created Date]])*24</f>
        <v>20.429999999993015</v>
      </c>
      <c r="N79" t="str">
        <f>IF(tblTickets[[#This Row],[Customer Satisfaction]]&gt;=4,"Satisfied",IF(tblTickets[[#This Row],[Customer Satisfaction]]=3,"Neutral","Dissatisfied"))</f>
        <v>Dissatisfied</v>
      </c>
    </row>
    <row r="80" spans="1:14" x14ac:dyDescent="0.35">
      <c r="A80" t="s">
        <v>439</v>
      </c>
      <c r="B80" s="3">
        <v>45738</v>
      </c>
      <c r="C80" s="3">
        <v>45738.855833333328</v>
      </c>
      <c r="D80" t="s">
        <v>30</v>
      </c>
      <c r="E80" t="s">
        <v>19</v>
      </c>
      <c r="F80" t="s">
        <v>14</v>
      </c>
      <c r="G80" t="s">
        <v>15</v>
      </c>
      <c r="H80">
        <v>8</v>
      </c>
      <c r="I80">
        <v>20.54</v>
      </c>
      <c r="J80">
        <v>5.86</v>
      </c>
      <c r="K80">
        <v>1</v>
      </c>
      <c r="L80" t="str">
        <f>IF(tblTickets[[#This Row],[SLA Target (hrs)]]&gt;=tblTickets[[#This Row],[Actual Resolution Time (hrs)]],"Yes","No")</f>
        <v>No</v>
      </c>
      <c r="M80">
        <f>(tblTickets[[#This Row],[Resolved Date]]-tblTickets[[#This Row],[Created Date]])*24</f>
        <v>20.53999999986263</v>
      </c>
      <c r="N80" t="str">
        <f>IF(tblTickets[[#This Row],[Customer Satisfaction]]&gt;=4,"Satisfied",IF(tblTickets[[#This Row],[Customer Satisfaction]]=3,"Neutral","Dissatisfied"))</f>
        <v>Dissatisfied</v>
      </c>
    </row>
    <row r="81" spans="1:14" x14ac:dyDescent="0.35">
      <c r="A81" t="s">
        <v>27</v>
      </c>
      <c r="B81" s="3">
        <v>45666</v>
      </c>
      <c r="C81" s="3">
        <v>45666.870416666658</v>
      </c>
      <c r="D81" t="s">
        <v>23</v>
      </c>
      <c r="E81" t="s">
        <v>17</v>
      </c>
      <c r="F81" t="s">
        <v>14</v>
      </c>
      <c r="G81" t="s">
        <v>26</v>
      </c>
      <c r="H81">
        <v>8</v>
      </c>
      <c r="I81">
        <v>20.89</v>
      </c>
      <c r="J81">
        <v>7.19</v>
      </c>
      <c r="K81">
        <v>1</v>
      </c>
      <c r="L81" t="str">
        <f>IF(tblTickets[[#This Row],[SLA Target (hrs)]]&gt;=tblTickets[[#This Row],[Actual Resolution Time (hrs)]],"Yes","No")</f>
        <v>No</v>
      </c>
      <c r="M81">
        <f>(tblTickets[[#This Row],[Resolved Date]]-tblTickets[[#This Row],[Created Date]])*24</f>
        <v>20.889999999781139</v>
      </c>
      <c r="N81" t="str">
        <f>IF(tblTickets[[#This Row],[Customer Satisfaction]]&gt;=4,"Satisfied",IF(tblTickets[[#This Row],[Customer Satisfaction]]=3,"Neutral","Dissatisfied"))</f>
        <v>Dissatisfied</v>
      </c>
    </row>
    <row r="82" spans="1:14" x14ac:dyDescent="0.35">
      <c r="A82" t="s">
        <v>268</v>
      </c>
      <c r="B82" s="3">
        <v>45673</v>
      </c>
      <c r="C82" s="3">
        <v>45673.92291666667</v>
      </c>
      <c r="D82" t="s">
        <v>30</v>
      </c>
      <c r="E82" t="s">
        <v>19</v>
      </c>
      <c r="F82" t="s">
        <v>14</v>
      </c>
      <c r="G82" t="s">
        <v>21</v>
      </c>
      <c r="H82">
        <v>4</v>
      </c>
      <c r="I82">
        <v>22.15</v>
      </c>
      <c r="J82">
        <v>2.2000000000000002</v>
      </c>
      <c r="K82">
        <v>1</v>
      </c>
      <c r="L82" t="str">
        <f>IF(tblTickets[[#This Row],[SLA Target (hrs)]]&gt;=tblTickets[[#This Row],[Actual Resolution Time (hrs)]],"Yes","No")</f>
        <v>No</v>
      </c>
      <c r="M82">
        <f>(tblTickets[[#This Row],[Resolved Date]]-tblTickets[[#This Row],[Created Date]])*24</f>
        <v>22.150000000081491</v>
      </c>
      <c r="N82" t="str">
        <f>IF(tblTickets[[#This Row],[Customer Satisfaction]]&gt;=4,"Satisfied",IF(tblTickets[[#This Row],[Customer Satisfaction]]=3,"Neutral","Dissatisfied"))</f>
        <v>Dissatisfied</v>
      </c>
    </row>
    <row r="83" spans="1:14" x14ac:dyDescent="0.35">
      <c r="A83" t="s">
        <v>302</v>
      </c>
      <c r="B83" s="3">
        <v>45737</v>
      </c>
      <c r="C83" s="3">
        <v>45737.927916666667</v>
      </c>
      <c r="D83" t="s">
        <v>30</v>
      </c>
      <c r="E83" t="s">
        <v>40</v>
      </c>
      <c r="F83" t="s">
        <v>20</v>
      </c>
      <c r="G83" t="s">
        <v>26</v>
      </c>
      <c r="H83">
        <v>8</v>
      </c>
      <c r="I83">
        <v>22.27</v>
      </c>
      <c r="J83">
        <v>1.46</v>
      </c>
      <c r="K83">
        <v>1</v>
      </c>
      <c r="L83" t="str">
        <f>IF(tblTickets[[#This Row],[SLA Target (hrs)]]&gt;=tblTickets[[#This Row],[Actual Resolution Time (hrs)]],"Yes","No")</f>
        <v>No</v>
      </c>
      <c r="M83">
        <f>(tblTickets[[#This Row],[Resolved Date]]-tblTickets[[#This Row],[Created Date]])*24</f>
        <v>22.270000000018626</v>
      </c>
      <c r="N83" t="str">
        <f>IF(tblTickets[[#This Row],[Customer Satisfaction]]&gt;=4,"Satisfied",IF(tblTickets[[#This Row],[Customer Satisfaction]]=3,"Neutral","Dissatisfied"))</f>
        <v>Dissatisfied</v>
      </c>
    </row>
    <row r="84" spans="1:14" x14ac:dyDescent="0.35">
      <c r="A84" t="s">
        <v>373</v>
      </c>
      <c r="B84" s="3">
        <v>45736</v>
      </c>
      <c r="C84" s="3">
        <v>45736.979583333326</v>
      </c>
      <c r="D84" t="s">
        <v>34</v>
      </c>
      <c r="E84" t="s">
        <v>19</v>
      </c>
      <c r="F84" t="s">
        <v>25</v>
      </c>
      <c r="G84" t="s">
        <v>15</v>
      </c>
      <c r="H84">
        <v>4</v>
      </c>
      <c r="I84">
        <v>23.51</v>
      </c>
      <c r="J84">
        <v>6.75</v>
      </c>
      <c r="K84">
        <v>1</v>
      </c>
      <c r="L84" t="str">
        <f>IF(tblTickets[[#This Row],[SLA Target (hrs)]]&gt;=tblTickets[[#This Row],[Actual Resolution Time (hrs)]],"Yes","No")</f>
        <v>No</v>
      </c>
      <c r="M84">
        <f>(tblTickets[[#This Row],[Resolved Date]]-tblTickets[[#This Row],[Created Date]])*24</f>
        <v>23.50999999983469</v>
      </c>
      <c r="N84" t="str">
        <f>IF(tblTickets[[#This Row],[Customer Satisfaction]]&gt;=4,"Satisfied",IF(tblTickets[[#This Row],[Customer Satisfaction]]=3,"Neutral","Dissatisfied"))</f>
        <v>Dissatisfied</v>
      </c>
    </row>
    <row r="85" spans="1:14" x14ac:dyDescent="0.35">
      <c r="A85" t="s">
        <v>88</v>
      </c>
      <c r="B85" s="3">
        <v>45721</v>
      </c>
      <c r="C85" s="3">
        <v>45721.987500000003</v>
      </c>
      <c r="D85" t="s">
        <v>23</v>
      </c>
      <c r="E85" t="s">
        <v>19</v>
      </c>
      <c r="F85" t="s">
        <v>41</v>
      </c>
      <c r="G85" t="s">
        <v>15</v>
      </c>
      <c r="H85">
        <v>4</v>
      </c>
      <c r="I85">
        <v>23.7</v>
      </c>
      <c r="J85">
        <v>4.4000000000000004</v>
      </c>
      <c r="K85">
        <v>1</v>
      </c>
      <c r="L85" t="str">
        <f>IF(tblTickets[[#This Row],[SLA Target (hrs)]]&gt;=tblTickets[[#This Row],[Actual Resolution Time (hrs)]],"Yes","No")</f>
        <v>No</v>
      </c>
      <c r="M85">
        <f>(tblTickets[[#This Row],[Resolved Date]]-tblTickets[[#This Row],[Created Date]])*24</f>
        <v>23.700000000069849</v>
      </c>
      <c r="N85" t="str">
        <f>IF(tblTickets[[#This Row],[Customer Satisfaction]]&gt;=4,"Satisfied",IF(tblTickets[[#This Row],[Customer Satisfaction]]=3,"Neutral","Dissatisfied"))</f>
        <v>Dissatisfied</v>
      </c>
    </row>
    <row r="86" spans="1:14" x14ac:dyDescent="0.35">
      <c r="A86" t="s">
        <v>476</v>
      </c>
      <c r="B86" s="3">
        <v>45663</v>
      </c>
      <c r="C86" s="3">
        <v>45664.013333333343</v>
      </c>
      <c r="D86" t="s">
        <v>12</v>
      </c>
      <c r="E86" t="s">
        <v>13</v>
      </c>
      <c r="F86" t="s">
        <v>25</v>
      </c>
      <c r="G86" t="s">
        <v>15</v>
      </c>
      <c r="H86">
        <v>8</v>
      </c>
      <c r="I86">
        <v>24.32</v>
      </c>
      <c r="J86">
        <v>6.26</v>
      </c>
      <c r="K86">
        <v>1</v>
      </c>
      <c r="L86" t="str">
        <f>IF(tblTickets[[#This Row],[SLA Target (hrs)]]&gt;=tblTickets[[#This Row],[Actual Resolution Time (hrs)]],"Yes","No")</f>
        <v>No</v>
      </c>
      <c r="M86">
        <f>(tblTickets[[#This Row],[Resolved Date]]-tblTickets[[#This Row],[Created Date]])*24</f>
        <v>24.320000000239816</v>
      </c>
      <c r="N86" t="str">
        <f>IF(tblTickets[[#This Row],[Customer Satisfaction]]&gt;=4,"Satisfied",IF(tblTickets[[#This Row],[Customer Satisfaction]]=3,"Neutral","Dissatisfied"))</f>
        <v>Dissatisfied</v>
      </c>
    </row>
    <row r="87" spans="1:14" x14ac:dyDescent="0.35">
      <c r="A87" t="s">
        <v>331</v>
      </c>
      <c r="B87" s="3">
        <v>45724</v>
      </c>
      <c r="C87" s="3">
        <v>45725.030416666668</v>
      </c>
      <c r="D87" t="s">
        <v>30</v>
      </c>
      <c r="E87" t="s">
        <v>13</v>
      </c>
      <c r="F87" t="s">
        <v>25</v>
      </c>
      <c r="G87" t="s">
        <v>26</v>
      </c>
      <c r="H87">
        <v>8</v>
      </c>
      <c r="I87">
        <v>24.73</v>
      </c>
      <c r="J87">
        <v>2.29</v>
      </c>
      <c r="K87">
        <v>1</v>
      </c>
      <c r="L87" t="str">
        <f>IF(tblTickets[[#This Row],[SLA Target (hrs)]]&gt;=tblTickets[[#This Row],[Actual Resolution Time (hrs)]],"Yes","No")</f>
        <v>No</v>
      </c>
      <c r="M87">
        <f>(tblTickets[[#This Row],[Resolved Date]]-tblTickets[[#This Row],[Created Date]])*24</f>
        <v>24.730000000039581</v>
      </c>
      <c r="N87" t="str">
        <f>IF(tblTickets[[#This Row],[Customer Satisfaction]]&gt;=4,"Satisfied",IF(tblTickets[[#This Row],[Customer Satisfaction]]=3,"Neutral","Dissatisfied"))</f>
        <v>Dissatisfied</v>
      </c>
    </row>
    <row r="88" spans="1:14" x14ac:dyDescent="0.35">
      <c r="A88" t="s">
        <v>387</v>
      </c>
      <c r="B88" s="3">
        <v>45720</v>
      </c>
      <c r="C88" s="3">
        <v>45721.0625</v>
      </c>
      <c r="D88" t="s">
        <v>30</v>
      </c>
      <c r="E88" t="s">
        <v>40</v>
      </c>
      <c r="F88" t="s">
        <v>41</v>
      </c>
      <c r="G88" t="s">
        <v>26</v>
      </c>
      <c r="H88">
        <v>24</v>
      </c>
      <c r="I88">
        <v>25.5</v>
      </c>
      <c r="J88">
        <v>1.75</v>
      </c>
      <c r="K88">
        <v>1</v>
      </c>
      <c r="L88" t="str">
        <f>IF(tblTickets[[#This Row],[SLA Target (hrs)]]&gt;=tblTickets[[#This Row],[Actual Resolution Time (hrs)]],"Yes","No")</f>
        <v>No</v>
      </c>
      <c r="M88">
        <f>(tblTickets[[#This Row],[Resolved Date]]-tblTickets[[#This Row],[Created Date]])*24</f>
        <v>25.5</v>
      </c>
      <c r="N88" t="str">
        <f>IF(tblTickets[[#This Row],[Customer Satisfaction]]&gt;=4,"Satisfied",IF(tblTickets[[#This Row],[Customer Satisfaction]]=3,"Neutral","Dissatisfied"))</f>
        <v>Dissatisfied</v>
      </c>
    </row>
    <row r="89" spans="1:14" x14ac:dyDescent="0.35">
      <c r="A89" t="s">
        <v>295</v>
      </c>
      <c r="B89" s="3">
        <v>45680</v>
      </c>
      <c r="C89" s="3">
        <v>45681.11041666667</v>
      </c>
      <c r="D89" t="s">
        <v>34</v>
      </c>
      <c r="E89" t="s">
        <v>13</v>
      </c>
      <c r="F89" t="s">
        <v>14</v>
      </c>
      <c r="G89" t="s">
        <v>15</v>
      </c>
      <c r="H89">
        <v>4</v>
      </c>
      <c r="I89">
        <v>26.65</v>
      </c>
      <c r="J89">
        <v>3.09</v>
      </c>
      <c r="K89">
        <v>1</v>
      </c>
      <c r="L89" t="str">
        <f>IF(tblTickets[[#This Row],[SLA Target (hrs)]]&gt;=tblTickets[[#This Row],[Actual Resolution Time (hrs)]],"Yes","No")</f>
        <v>No</v>
      </c>
      <c r="M89">
        <f>(tblTickets[[#This Row],[Resolved Date]]-tblTickets[[#This Row],[Created Date]])*24</f>
        <v>26.650000000081491</v>
      </c>
      <c r="N89" t="str">
        <f>IF(tblTickets[[#This Row],[Customer Satisfaction]]&gt;=4,"Satisfied",IF(tblTickets[[#This Row],[Customer Satisfaction]]=3,"Neutral","Dissatisfied"))</f>
        <v>Dissatisfied</v>
      </c>
    </row>
    <row r="90" spans="1:14" x14ac:dyDescent="0.35">
      <c r="A90" t="s">
        <v>131</v>
      </c>
      <c r="B90" s="3">
        <v>45732</v>
      </c>
      <c r="C90" s="3">
        <v>45733.147083333337</v>
      </c>
      <c r="D90" t="s">
        <v>30</v>
      </c>
      <c r="E90" t="s">
        <v>13</v>
      </c>
      <c r="F90" t="s">
        <v>41</v>
      </c>
      <c r="G90" t="s">
        <v>26</v>
      </c>
      <c r="H90">
        <v>8</v>
      </c>
      <c r="I90">
        <v>27.53</v>
      </c>
      <c r="J90">
        <v>2.6</v>
      </c>
      <c r="K90">
        <v>1</v>
      </c>
      <c r="L90" t="str">
        <f>IF(tblTickets[[#This Row],[SLA Target (hrs)]]&gt;=tblTickets[[#This Row],[Actual Resolution Time (hrs)]],"Yes","No")</f>
        <v>No</v>
      </c>
      <c r="M90">
        <f>(tblTickets[[#This Row],[Resolved Date]]-tblTickets[[#This Row],[Created Date]])*24</f>
        <v>27.530000000086147</v>
      </c>
      <c r="N90" t="str">
        <f>IF(tblTickets[[#This Row],[Customer Satisfaction]]&gt;=4,"Satisfied",IF(tblTickets[[#This Row],[Customer Satisfaction]]=3,"Neutral","Dissatisfied"))</f>
        <v>Dissatisfied</v>
      </c>
    </row>
    <row r="91" spans="1:14" x14ac:dyDescent="0.35">
      <c r="A91" t="s">
        <v>212</v>
      </c>
      <c r="B91" s="3">
        <v>45666</v>
      </c>
      <c r="C91" s="3">
        <v>45667.186249999999</v>
      </c>
      <c r="D91" t="s">
        <v>12</v>
      </c>
      <c r="E91" t="s">
        <v>13</v>
      </c>
      <c r="F91" t="s">
        <v>14</v>
      </c>
      <c r="G91" t="s">
        <v>15</v>
      </c>
      <c r="H91">
        <v>8</v>
      </c>
      <c r="I91">
        <v>28.47</v>
      </c>
      <c r="J91">
        <v>2.92</v>
      </c>
      <c r="K91">
        <v>1</v>
      </c>
      <c r="L91" t="str">
        <f>IF(tblTickets[[#This Row],[SLA Target (hrs)]]&gt;=tblTickets[[#This Row],[Actual Resolution Time (hrs)]],"Yes","No")</f>
        <v>No</v>
      </c>
      <c r="M91">
        <f>(tblTickets[[#This Row],[Resolved Date]]-tblTickets[[#This Row],[Created Date]])*24</f>
        <v>28.46999999997206</v>
      </c>
      <c r="N91" t="str">
        <f>IF(tblTickets[[#This Row],[Customer Satisfaction]]&gt;=4,"Satisfied",IF(tblTickets[[#This Row],[Customer Satisfaction]]=3,"Neutral","Dissatisfied"))</f>
        <v>Dissatisfied</v>
      </c>
    </row>
    <row r="92" spans="1:14" x14ac:dyDescent="0.35">
      <c r="A92" t="s">
        <v>345</v>
      </c>
      <c r="B92" s="3">
        <v>45679</v>
      </c>
      <c r="C92" s="3">
        <v>45680.200416666667</v>
      </c>
      <c r="D92" t="s">
        <v>34</v>
      </c>
      <c r="E92" t="s">
        <v>17</v>
      </c>
      <c r="F92" t="s">
        <v>41</v>
      </c>
      <c r="G92" t="s">
        <v>21</v>
      </c>
      <c r="H92">
        <v>24</v>
      </c>
      <c r="I92">
        <v>28.81</v>
      </c>
      <c r="J92">
        <v>0.77</v>
      </c>
      <c r="K92">
        <v>1</v>
      </c>
      <c r="L92" t="str">
        <f>IF(tblTickets[[#This Row],[SLA Target (hrs)]]&gt;=tblTickets[[#This Row],[Actual Resolution Time (hrs)]],"Yes","No")</f>
        <v>No</v>
      </c>
      <c r="M92">
        <f>(tblTickets[[#This Row],[Resolved Date]]-tblTickets[[#This Row],[Created Date]])*24</f>
        <v>28.809999999997672</v>
      </c>
      <c r="N92" t="str">
        <f>IF(tblTickets[[#This Row],[Customer Satisfaction]]&gt;=4,"Satisfied",IF(tblTickets[[#This Row],[Customer Satisfaction]]=3,"Neutral","Dissatisfied"))</f>
        <v>Dissatisfied</v>
      </c>
    </row>
    <row r="93" spans="1:14" x14ac:dyDescent="0.35">
      <c r="A93" t="s">
        <v>171</v>
      </c>
      <c r="B93" s="3">
        <v>45670</v>
      </c>
      <c r="C93" s="3">
        <v>45671.21166666667</v>
      </c>
      <c r="D93" t="s">
        <v>23</v>
      </c>
      <c r="E93" t="s">
        <v>19</v>
      </c>
      <c r="F93" t="s">
        <v>14</v>
      </c>
      <c r="G93" t="s">
        <v>15</v>
      </c>
      <c r="H93">
        <v>4</v>
      </c>
      <c r="I93">
        <v>29.08</v>
      </c>
      <c r="J93">
        <v>4.67</v>
      </c>
      <c r="K93">
        <v>1</v>
      </c>
      <c r="L93" t="str">
        <f>IF(tblTickets[[#This Row],[SLA Target (hrs)]]&gt;=tblTickets[[#This Row],[Actual Resolution Time (hrs)]],"Yes","No")</f>
        <v>No</v>
      </c>
      <c r="M93">
        <f>(tblTickets[[#This Row],[Resolved Date]]-tblTickets[[#This Row],[Created Date]])*24</f>
        <v>29.080000000074506</v>
      </c>
      <c r="N93" t="str">
        <f>IF(tblTickets[[#This Row],[Customer Satisfaction]]&gt;=4,"Satisfied",IF(tblTickets[[#This Row],[Customer Satisfaction]]=3,"Neutral","Dissatisfied"))</f>
        <v>Dissatisfied</v>
      </c>
    </row>
    <row r="94" spans="1:14" x14ac:dyDescent="0.35">
      <c r="A94" t="s">
        <v>511</v>
      </c>
      <c r="B94" s="3">
        <v>45686</v>
      </c>
      <c r="C94" s="3">
        <v>45687.215416666673</v>
      </c>
      <c r="D94" t="s">
        <v>34</v>
      </c>
      <c r="E94" t="s">
        <v>13</v>
      </c>
      <c r="F94" t="s">
        <v>20</v>
      </c>
      <c r="G94" t="s">
        <v>15</v>
      </c>
      <c r="H94">
        <v>4</v>
      </c>
      <c r="I94">
        <v>29.17</v>
      </c>
      <c r="J94">
        <v>7.37</v>
      </c>
      <c r="K94">
        <v>1</v>
      </c>
      <c r="L94" t="str">
        <f>IF(tblTickets[[#This Row],[SLA Target (hrs)]]&gt;=tblTickets[[#This Row],[Actual Resolution Time (hrs)]],"Yes","No")</f>
        <v>No</v>
      </c>
      <c r="M94">
        <f>(tblTickets[[#This Row],[Resolved Date]]-tblTickets[[#This Row],[Created Date]])*24</f>
        <v>29.170000000158325</v>
      </c>
      <c r="N94" t="str">
        <f>IF(tblTickets[[#This Row],[Customer Satisfaction]]&gt;=4,"Satisfied",IF(tblTickets[[#This Row],[Customer Satisfaction]]=3,"Neutral","Dissatisfied"))</f>
        <v>Dissatisfied</v>
      </c>
    </row>
    <row r="95" spans="1:14" x14ac:dyDescent="0.35">
      <c r="A95" t="s">
        <v>246</v>
      </c>
      <c r="B95" s="3">
        <v>45714</v>
      </c>
      <c r="C95" s="3">
        <v>45715.222500000003</v>
      </c>
      <c r="D95" t="s">
        <v>12</v>
      </c>
      <c r="E95" t="s">
        <v>40</v>
      </c>
      <c r="F95" t="s">
        <v>14</v>
      </c>
      <c r="G95" t="s">
        <v>26</v>
      </c>
      <c r="H95">
        <v>4</v>
      </c>
      <c r="I95">
        <v>29.34</v>
      </c>
      <c r="J95">
        <v>0.96</v>
      </c>
      <c r="K95">
        <v>1</v>
      </c>
      <c r="L95" t="str">
        <f>IF(tblTickets[[#This Row],[SLA Target (hrs)]]&gt;=tblTickets[[#This Row],[Actual Resolution Time (hrs)]],"Yes","No")</f>
        <v>No</v>
      </c>
      <c r="M95">
        <f>(tblTickets[[#This Row],[Resolved Date]]-tblTickets[[#This Row],[Created Date]])*24</f>
        <v>29.340000000083819</v>
      </c>
      <c r="N95" t="str">
        <f>IF(tblTickets[[#This Row],[Customer Satisfaction]]&gt;=4,"Satisfied",IF(tblTickets[[#This Row],[Customer Satisfaction]]=3,"Neutral","Dissatisfied"))</f>
        <v>Dissatisfied</v>
      </c>
    </row>
    <row r="96" spans="1:14" x14ac:dyDescent="0.35">
      <c r="A96" t="s">
        <v>391</v>
      </c>
      <c r="B96" s="3">
        <v>45734</v>
      </c>
      <c r="C96" s="3">
        <v>45735.228750000002</v>
      </c>
      <c r="D96" t="s">
        <v>12</v>
      </c>
      <c r="E96" t="s">
        <v>19</v>
      </c>
      <c r="F96" t="s">
        <v>14</v>
      </c>
      <c r="G96" t="s">
        <v>21</v>
      </c>
      <c r="H96">
        <v>24</v>
      </c>
      <c r="I96">
        <v>29.49</v>
      </c>
      <c r="J96">
        <v>4.9000000000000004</v>
      </c>
      <c r="K96">
        <v>1</v>
      </c>
      <c r="L96" t="str">
        <f>IF(tblTickets[[#This Row],[SLA Target (hrs)]]&gt;=tblTickets[[#This Row],[Actual Resolution Time (hrs)]],"Yes","No")</f>
        <v>No</v>
      </c>
      <c r="M96">
        <f>(tblTickets[[#This Row],[Resolved Date]]-tblTickets[[#This Row],[Created Date]])*24</f>
        <v>29.490000000048894</v>
      </c>
      <c r="N96" t="str">
        <f>IF(tblTickets[[#This Row],[Customer Satisfaction]]&gt;=4,"Satisfied",IF(tblTickets[[#This Row],[Customer Satisfaction]]=3,"Neutral","Dissatisfied"))</f>
        <v>Dissatisfied</v>
      </c>
    </row>
    <row r="97" spans="1:14" x14ac:dyDescent="0.35">
      <c r="A97" t="s">
        <v>274</v>
      </c>
      <c r="B97" s="3">
        <v>45680</v>
      </c>
      <c r="C97" s="3">
        <v>45681.231249999997</v>
      </c>
      <c r="D97" t="s">
        <v>30</v>
      </c>
      <c r="E97" t="s">
        <v>19</v>
      </c>
      <c r="F97" t="s">
        <v>20</v>
      </c>
      <c r="G97" t="s">
        <v>15</v>
      </c>
      <c r="H97">
        <v>24</v>
      </c>
      <c r="I97">
        <v>29.55</v>
      </c>
      <c r="J97">
        <v>7.72</v>
      </c>
      <c r="K97">
        <v>1</v>
      </c>
      <c r="L97" t="str">
        <f>IF(tblTickets[[#This Row],[SLA Target (hrs)]]&gt;=tblTickets[[#This Row],[Actual Resolution Time (hrs)]],"Yes","No")</f>
        <v>No</v>
      </c>
      <c r="M97">
        <f>(tblTickets[[#This Row],[Resolved Date]]-tblTickets[[#This Row],[Created Date]])*24</f>
        <v>29.549999999930151</v>
      </c>
      <c r="N97" t="str">
        <f>IF(tblTickets[[#This Row],[Customer Satisfaction]]&gt;=4,"Satisfied",IF(tblTickets[[#This Row],[Customer Satisfaction]]=3,"Neutral","Dissatisfied"))</f>
        <v>Dissatisfied</v>
      </c>
    </row>
    <row r="98" spans="1:14" x14ac:dyDescent="0.35">
      <c r="A98" t="s">
        <v>69</v>
      </c>
      <c r="B98" s="3">
        <v>45736</v>
      </c>
      <c r="C98" s="3">
        <v>45737.285833333342</v>
      </c>
      <c r="D98" t="s">
        <v>34</v>
      </c>
      <c r="E98" t="s">
        <v>17</v>
      </c>
      <c r="F98" t="s">
        <v>45</v>
      </c>
      <c r="G98" t="s">
        <v>26</v>
      </c>
      <c r="H98">
        <v>24</v>
      </c>
      <c r="I98">
        <v>30.86</v>
      </c>
      <c r="J98">
        <v>1.31</v>
      </c>
      <c r="K98">
        <v>1</v>
      </c>
      <c r="L98" t="str">
        <f>IF(tblTickets[[#This Row],[SLA Target (hrs)]]&gt;=tblTickets[[#This Row],[Actual Resolution Time (hrs)]],"Yes","No")</f>
        <v>No</v>
      </c>
      <c r="M98">
        <f>(tblTickets[[#This Row],[Resolved Date]]-tblTickets[[#This Row],[Created Date]])*24</f>
        <v>30.860000000218861</v>
      </c>
      <c r="N98" t="str">
        <f>IF(tblTickets[[#This Row],[Customer Satisfaction]]&gt;=4,"Satisfied",IF(tblTickets[[#This Row],[Customer Satisfaction]]=3,"Neutral","Dissatisfied"))</f>
        <v>Dissatisfied</v>
      </c>
    </row>
    <row r="99" spans="1:14" x14ac:dyDescent="0.35">
      <c r="A99" t="s">
        <v>149</v>
      </c>
      <c r="B99" s="3">
        <v>45731</v>
      </c>
      <c r="C99" s="3">
        <v>45732.307083333333</v>
      </c>
      <c r="D99" t="s">
        <v>12</v>
      </c>
      <c r="E99" t="s">
        <v>40</v>
      </c>
      <c r="F99" t="s">
        <v>25</v>
      </c>
      <c r="G99" t="s">
        <v>15</v>
      </c>
      <c r="H99">
        <v>4</v>
      </c>
      <c r="I99">
        <v>31.37</v>
      </c>
      <c r="J99">
        <v>7.18</v>
      </c>
      <c r="K99">
        <v>1</v>
      </c>
      <c r="L99" t="str">
        <f>IF(tblTickets[[#This Row],[SLA Target (hrs)]]&gt;=tblTickets[[#This Row],[Actual Resolution Time (hrs)]],"Yes","No")</f>
        <v>No</v>
      </c>
      <c r="M99">
        <f>(tblTickets[[#This Row],[Resolved Date]]-tblTickets[[#This Row],[Created Date]])*24</f>
        <v>31.369999999995343</v>
      </c>
      <c r="N99" t="str">
        <f>IF(tblTickets[[#This Row],[Customer Satisfaction]]&gt;=4,"Satisfied",IF(tblTickets[[#This Row],[Customer Satisfaction]]=3,"Neutral","Dissatisfied"))</f>
        <v>Dissatisfied</v>
      </c>
    </row>
    <row r="100" spans="1:14" x14ac:dyDescent="0.35">
      <c r="A100" t="s">
        <v>353</v>
      </c>
      <c r="B100" s="3">
        <v>45706</v>
      </c>
      <c r="C100" s="3">
        <v>45707.368750000001</v>
      </c>
      <c r="D100" t="s">
        <v>34</v>
      </c>
      <c r="E100" t="s">
        <v>40</v>
      </c>
      <c r="F100" t="s">
        <v>45</v>
      </c>
      <c r="G100" t="s">
        <v>21</v>
      </c>
      <c r="H100">
        <v>24</v>
      </c>
      <c r="I100">
        <v>32.85</v>
      </c>
      <c r="J100">
        <v>2.25</v>
      </c>
      <c r="K100">
        <v>1</v>
      </c>
      <c r="L100" t="str">
        <f>IF(tblTickets[[#This Row],[SLA Target (hrs)]]&gt;=tblTickets[[#This Row],[Actual Resolution Time (hrs)]],"Yes","No")</f>
        <v>No</v>
      </c>
      <c r="M100">
        <f>(tblTickets[[#This Row],[Resolved Date]]-tblTickets[[#This Row],[Created Date]])*24</f>
        <v>32.850000000034925</v>
      </c>
      <c r="N100" t="str">
        <f>IF(tblTickets[[#This Row],[Customer Satisfaction]]&gt;=4,"Satisfied",IF(tblTickets[[#This Row],[Customer Satisfaction]]=3,"Neutral","Dissatisfied"))</f>
        <v>Dissatisfied</v>
      </c>
    </row>
    <row r="101" spans="1:14" x14ac:dyDescent="0.35">
      <c r="A101" t="s">
        <v>431</v>
      </c>
      <c r="B101" s="3">
        <v>45724</v>
      </c>
      <c r="C101" s="3">
        <v>45725.375</v>
      </c>
      <c r="D101" t="s">
        <v>23</v>
      </c>
      <c r="E101" t="s">
        <v>17</v>
      </c>
      <c r="F101" t="s">
        <v>14</v>
      </c>
      <c r="G101" t="s">
        <v>15</v>
      </c>
      <c r="H101">
        <v>8</v>
      </c>
      <c r="I101">
        <v>33</v>
      </c>
      <c r="J101">
        <v>4.8899999999999997</v>
      </c>
      <c r="K101">
        <v>1</v>
      </c>
      <c r="L101" t="str">
        <f>IF(tblTickets[[#This Row],[SLA Target (hrs)]]&gt;=tblTickets[[#This Row],[Actual Resolution Time (hrs)]],"Yes","No")</f>
        <v>No</v>
      </c>
      <c r="M101">
        <f>(tblTickets[[#This Row],[Resolved Date]]-tblTickets[[#This Row],[Created Date]])*24</f>
        <v>33</v>
      </c>
      <c r="N101" t="str">
        <f>IF(tblTickets[[#This Row],[Customer Satisfaction]]&gt;=4,"Satisfied",IF(tblTickets[[#This Row],[Customer Satisfaction]]=3,"Neutral","Dissatisfied"))</f>
        <v>Dissatisfied</v>
      </c>
    </row>
    <row r="102" spans="1:14" x14ac:dyDescent="0.35">
      <c r="A102" t="s">
        <v>313</v>
      </c>
      <c r="B102" s="3">
        <v>45702</v>
      </c>
      <c r="C102" s="3">
        <v>45703.381249999999</v>
      </c>
      <c r="D102" t="s">
        <v>30</v>
      </c>
      <c r="E102" t="s">
        <v>19</v>
      </c>
      <c r="F102" t="s">
        <v>25</v>
      </c>
      <c r="G102" t="s">
        <v>21</v>
      </c>
      <c r="H102">
        <v>8</v>
      </c>
      <c r="I102">
        <v>33.15</v>
      </c>
      <c r="J102">
        <v>0.83</v>
      </c>
      <c r="K102">
        <v>1</v>
      </c>
      <c r="L102" t="str">
        <f>IF(tblTickets[[#This Row],[SLA Target (hrs)]]&gt;=tblTickets[[#This Row],[Actual Resolution Time (hrs)]],"Yes","No")</f>
        <v>No</v>
      </c>
      <c r="M102">
        <f>(tblTickets[[#This Row],[Resolved Date]]-tblTickets[[#This Row],[Created Date]])*24</f>
        <v>33.149999999965075</v>
      </c>
      <c r="N102" t="str">
        <f>IF(tblTickets[[#This Row],[Customer Satisfaction]]&gt;=4,"Satisfied",IF(tblTickets[[#This Row],[Customer Satisfaction]]=3,"Neutral","Dissatisfied"))</f>
        <v>Dissatisfied</v>
      </c>
    </row>
    <row r="103" spans="1:14" x14ac:dyDescent="0.35">
      <c r="A103" t="s">
        <v>381</v>
      </c>
      <c r="B103" s="3">
        <v>45687</v>
      </c>
      <c r="C103" s="3">
        <v>45688.391250000001</v>
      </c>
      <c r="D103" t="s">
        <v>34</v>
      </c>
      <c r="E103" t="s">
        <v>17</v>
      </c>
      <c r="F103" t="s">
        <v>45</v>
      </c>
      <c r="G103" t="s">
        <v>21</v>
      </c>
      <c r="H103">
        <v>4</v>
      </c>
      <c r="I103">
        <v>33.39</v>
      </c>
      <c r="J103">
        <v>6.2</v>
      </c>
      <c r="K103">
        <v>1</v>
      </c>
      <c r="L103" t="str">
        <f>IF(tblTickets[[#This Row],[SLA Target (hrs)]]&gt;=tblTickets[[#This Row],[Actual Resolution Time (hrs)]],"Yes","No")</f>
        <v>No</v>
      </c>
      <c r="M103">
        <f>(tblTickets[[#This Row],[Resolved Date]]-tblTickets[[#This Row],[Created Date]])*24</f>
        <v>33.39000000001397</v>
      </c>
      <c r="N103" t="str">
        <f>IF(tblTickets[[#This Row],[Customer Satisfaction]]&gt;=4,"Satisfied",IF(tblTickets[[#This Row],[Customer Satisfaction]]=3,"Neutral","Dissatisfied"))</f>
        <v>Dissatisfied</v>
      </c>
    </row>
    <row r="104" spans="1:14" x14ac:dyDescent="0.35">
      <c r="A104" t="s">
        <v>173</v>
      </c>
      <c r="B104" s="3">
        <v>45745</v>
      </c>
      <c r="C104" s="3">
        <v>45745.064166666663</v>
      </c>
      <c r="D104" t="s">
        <v>34</v>
      </c>
      <c r="E104" t="s">
        <v>13</v>
      </c>
      <c r="F104" t="s">
        <v>20</v>
      </c>
      <c r="G104" t="s">
        <v>26</v>
      </c>
      <c r="H104">
        <v>8</v>
      </c>
      <c r="I104">
        <v>1.54</v>
      </c>
      <c r="J104">
        <v>4.12</v>
      </c>
      <c r="K104">
        <v>2</v>
      </c>
      <c r="L104" t="str">
        <f>IF(tblTickets[[#This Row],[SLA Target (hrs)]]&gt;=tblTickets[[#This Row],[Actual Resolution Time (hrs)]],"Yes","No")</f>
        <v>Yes</v>
      </c>
      <c r="M104">
        <f>(tblTickets[[#This Row],[Resolved Date]]-tblTickets[[#This Row],[Created Date]])*24</f>
        <v>1.5399999999208376</v>
      </c>
      <c r="N104" t="str">
        <f>IF(tblTickets[[#This Row],[Customer Satisfaction]]&gt;=4,"Satisfied",IF(tblTickets[[#This Row],[Customer Satisfaction]]=3,"Neutral","Dissatisfied"))</f>
        <v>Dissatisfied</v>
      </c>
    </row>
    <row r="105" spans="1:14" x14ac:dyDescent="0.35">
      <c r="A105" t="s">
        <v>289</v>
      </c>
      <c r="B105" s="3">
        <v>45684</v>
      </c>
      <c r="C105" s="3">
        <v>45684.072500000002</v>
      </c>
      <c r="D105" t="s">
        <v>12</v>
      </c>
      <c r="E105" t="s">
        <v>13</v>
      </c>
      <c r="F105" t="s">
        <v>41</v>
      </c>
      <c r="G105" t="s">
        <v>26</v>
      </c>
      <c r="H105">
        <v>24</v>
      </c>
      <c r="I105">
        <v>1.74</v>
      </c>
      <c r="J105">
        <v>3.12</v>
      </c>
      <c r="K105">
        <v>2</v>
      </c>
      <c r="L105" t="str">
        <f>IF(tblTickets[[#This Row],[SLA Target (hrs)]]&gt;=tblTickets[[#This Row],[Actual Resolution Time (hrs)]],"Yes","No")</f>
        <v>Yes</v>
      </c>
      <c r="M105">
        <f>(tblTickets[[#This Row],[Resolved Date]]-tblTickets[[#This Row],[Created Date]])*24</f>
        <v>1.7400000000488944</v>
      </c>
      <c r="N105" t="str">
        <f>IF(tblTickets[[#This Row],[Customer Satisfaction]]&gt;=4,"Satisfied",IF(tblTickets[[#This Row],[Customer Satisfaction]]=3,"Neutral","Dissatisfied"))</f>
        <v>Dissatisfied</v>
      </c>
    </row>
    <row r="106" spans="1:14" x14ac:dyDescent="0.35">
      <c r="A106" t="s">
        <v>307</v>
      </c>
      <c r="B106" s="3">
        <v>45670</v>
      </c>
      <c r="C106" s="3">
        <v>45670.081250000003</v>
      </c>
      <c r="D106" t="s">
        <v>23</v>
      </c>
      <c r="E106" t="s">
        <v>13</v>
      </c>
      <c r="F106" t="s">
        <v>14</v>
      </c>
      <c r="G106" t="s">
        <v>26</v>
      </c>
      <c r="H106">
        <v>4</v>
      </c>
      <c r="I106">
        <v>1.95</v>
      </c>
      <c r="J106">
        <v>3.92</v>
      </c>
      <c r="K106">
        <v>2</v>
      </c>
      <c r="L106" t="str">
        <f>IF(tblTickets[[#This Row],[SLA Target (hrs)]]&gt;=tblTickets[[#This Row],[Actual Resolution Time (hrs)]],"Yes","No")</f>
        <v>Yes</v>
      </c>
      <c r="M106">
        <f>(tblTickets[[#This Row],[Resolved Date]]-tblTickets[[#This Row],[Created Date]])*24</f>
        <v>1.9500000000698492</v>
      </c>
      <c r="N106" t="str">
        <f>IF(tblTickets[[#This Row],[Customer Satisfaction]]&gt;=4,"Satisfied",IF(tblTickets[[#This Row],[Customer Satisfaction]]=3,"Neutral","Dissatisfied"))</f>
        <v>Dissatisfied</v>
      </c>
    </row>
    <row r="107" spans="1:14" x14ac:dyDescent="0.35">
      <c r="A107" t="s">
        <v>519</v>
      </c>
      <c r="B107" s="3">
        <v>45671</v>
      </c>
      <c r="C107" s="3">
        <v>45671.097083333327</v>
      </c>
      <c r="D107" t="s">
        <v>34</v>
      </c>
      <c r="E107" t="s">
        <v>19</v>
      </c>
      <c r="F107" t="s">
        <v>20</v>
      </c>
      <c r="G107" t="s">
        <v>15</v>
      </c>
      <c r="H107">
        <v>4</v>
      </c>
      <c r="I107">
        <v>2.33</v>
      </c>
      <c r="J107">
        <v>5.23</v>
      </c>
      <c r="K107">
        <v>2</v>
      </c>
      <c r="L107" t="str">
        <f>IF(tblTickets[[#This Row],[SLA Target (hrs)]]&gt;=tblTickets[[#This Row],[Actual Resolution Time (hrs)]],"Yes","No")</f>
        <v>Yes</v>
      </c>
      <c r="M107">
        <f>(tblTickets[[#This Row],[Resolved Date]]-tblTickets[[#This Row],[Created Date]])*24</f>
        <v>2.3299999998416752</v>
      </c>
      <c r="N107" t="str">
        <f>IF(tblTickets[[#This Row],[Customer Satisfaction]]&gt;=4,"Satisfied",IF(tblTickets[[#This Row],[Customer Satisfaction]]=3,"Neutral","Dissatisfied"))</f>
        <v>Dissatisfied</v>
      </c>
    </row>
    <row r="108" spans="1:14" x14ac:dyDescent="0.35">
      <c r="A108" t="s">
        <v>407</v>
      </c>
      <c r="B108" s="3">
        <v>45701</v>
      </c>
      <c r="C108" s="3">
        <v>45701.119166666656</v>
      </c>
      <c r="D108" t="s">
        <v>30</v>
      </c>
      <c r="E108" t="s">
        <v>19</v>
      </c>
      <c r="F108" t="s">
        <v>14</v>
      </c>
      <c r="G108" t="s">
        <v>21</v>
      </c>
      <c r="H108">
        <v>24</v>
      </c>
      <c r="I108">
        <v>2.86</v>
      </c>
      <c r="J108">
        <v>1.97</v>
      </c>
      <c r="K108">
        <v>2</v>
      </c>
      <c r="L108" t="str">
        <f>IF(tblTickets[[#This Row],[SLA Target (hrs)]]&gt;=tblTickets[[#This Row],[Actual Resolution Time (hrs)]],"Yes","No")</f>
        <v>Yes</v>
      </c>
      <c r="M108">
        <f>(tblTickets[[#This Row],[Resolved Date]]-tblTickets[[#This Row],[Created Date]])*24</f>
        <v>2.8599999997531995</v>
      </c>
      <c r="N108" t="str">
        <f>IF(tblTickets[[#This Row],[Customer Satisfaction]]&gt;=4,"Satisfied",IF(tblTickets[[#This Row],[Customer Satisfaction]]=3,"Neutral","Dissatisfied"))</f>
        <v>Dissatisfied</v>
      </c>
    </row>
    <row r="109" spans="1:14" x14ac:dyDescent="0.35">
      <c r="A109" t="s">
        <v>84</v>
      </c>
      <c r="B109" s="3">
        <v>45748</v>
      </c>
      <c r="C109" s="3">
        <v>45748.138749999998</v>
      </c>
      <c r="D109" t="s">
        <v>23</v>
      </c>
      <c r="E109" t="s">
        <v>19</v>
      </c>
      <c r="F109" t="s">
        <v>41</v>
      </c>
      <c r="G109" t="s">
        <v>26</v>
      </c>
      <c r="H109">
        <v>24</v>
      </c>
      <c r="I109">
        <v>3.33</v>
      </c>
      <c r="J109">
        <v>1.72</v>
      </c>
      <c r="K109">
        <v>2</v>
      </c>
      <c r="L109" t="str">
        <f>IF(tblTickets[[#This Row],[SLA Target (hrs)]]&gt;=tblTickets[[#This Row],[Actual Resolution Time (hrs)]],"Yes","No")</f>
        <v>Yes</v>
      </c>
      <c r="M109">
        <f>(tblTickets[[#This Row],[Resolved Date]]-tblTickets[[#This Row],[Created Date]])*24</f>
        <v>3.3299999999580905</v>
      </c>
      <c r="N109" t="str">
        <f>IF(tblTickets[[#This Row],[Customer Satisfaction]]&gt;=4,"Satisfied",IF(tblTickets[[#This Row],[Customer Satisfaction]]=3,"Neutral","Dissatisfied"))</f>
        <v>Dissatisfied</v>
      </c>
    </row>
    <row r="110" spans="1:14" x14ac:dyDescent="0.35">
      <c r="A110" t="s">
        <v>229</v>
      </c>
      <c r="B110" s="3">
        <v>45699</v>
      </c>
      <c r="C110" s="3">
        <v>45699.174583333333</v>
      </c>
      <c r="D110" t="s">
        <v>23</v>
      </c>
      <c r="E110" t="s">
        <v>13</v>
      </c>
      <c r="F110" t="s">
        <v>25</v>
      </c>
      <c r="G110" t="s">
        <v>21</v>
      </c>
      <c r="H110">
        <v>8</v>
      </c>
      <c r="I110">
        <v>4.1900000000000004</v>
      </c>
      <c r="J110">
        <v>5.59</v>
      </c>
      <c r="K110">
        <v>2</v>
      </c>
      <c r="L110" t="str">
        <f>IF(tblTickets[[#This Row],[SLA Target (hrs)]]&gt;=tblTickets[[#This Row],[Actual Resolution Time (hrs)]],"Yes","No")</f>
        <v>Yes</v>
      </c>
      <c r="M110">
        <f>(tblTickets[[#This Row],[Resolved Date]]-tblTickets[[#This Row],[Created Date]])*24</f>
        <v>4.1900000000023283</v>
      </c>
      <c r="N110" t="str">
        <f>IF(tblTickets[[#This Row],[Customer Satisfaction]]&gt;=4,"Satisfied",IF(tblTickets[[#This Row],[Customer Satisfaction]]=3,"Neutral","Dissatisfied"))</f>
        <v>Dissatisfied</v>
      </c>
    </row>
    <row r="111" spans="1:14" x14ac:dyDescent="0.35">
      <c r="A111" t="s">
        <v>113</v>
      </c>
      <c r="B111" s="3">
        <v>45745</v>
      </c>
      <c r="C111" s="3">
        <v>45745.259166666663</v>
      </c>
      <c r="D111" t="s">
        <v>23</v>
      </c>
      <c r="E111" t="s">
        <v>13</v>
      </c>
      <c r="F111" t="s">
        <v>25</v>
      </c>
      <c r="G111" t="s">
        <v>21</v>
      </c>
      <c r="H111">
        <v>8</v>
      </c>
      <c r="I111">
        <v>6.22</v>
      </c>
      <c r="J111">
        <v>3.95</v>
      </c>
      <c r="K111">
        <v>2</v>
      </c>
      <c r="L111" t="str">
        <f>IF(tblTickets[[#This Row],[SLA Target (hrs)]]&gt;=tblTickets[[#This Row],[Actual Resolution Time (hrs)]],"Yes","No")</f>
        <v>Yes</v>
      </c>
      <c r="M111">
        <f>(tblTickets[[#This Row],[Resolved Date]]-tblTickets[[#This Row],[Created Date]])*24</f>
        <v>6.2199999999138527</v>
      </c>
      <c r="N111" t="str">
        <f>IF(tblTickets[[#This Row],[Customer Satisfaction]]&gt;=4,"Satisfied",IF(tblTickets[[#This Row],[Customer Satisfaction]]=3,"Neutral","Dissatisfied"))</f>
        <v>Dissatisfied</v>
      </c>
    </row>
    <row r="112" spans="1:14" x14ac:dyDescent="0.35">
      <c r="A112" t="s">
        <v>495</v>
      </c>
      <c r="B112" s="3">
        <v>45716</v>
      </c>
      <c r="C112" s="3">
        <v>45716.26666666667</v>
      </c>
      <c r="D112" t="s">
        <v>34</v>
      </c>
      <c r="E112" t="s">
        <v>13</v>
      </c>
      <c r="F112" t="s">
        <v>41</v>
      </c>
      <c r="G112" t="s">
        <v>21</v>
      </c>
      <c r="H112">
        <v>8</v>
      </c>
      <c r="I112">
        <v>6.4</v>
      </c>
      <c r="J112">
        <v>6.5</v>
      </c>
      <c r="K112">
        <v>2</v>
      </c>
      <c r="L112" t="str">
        <f>IF(tblTickets[[#This Row],[SLA Target (hrs)]]&gt;=tblTickets[[#This Row],[Actual Resolution Time (hrs)]],"Yes","No")</f>
        <v>Yes</v>
      </c>
      <c r="M112">
        <f>(tblTickets[[#This Row],[Resolved Date]]-tblTickets[[#This Row],[Created Date]])*24</f>
        <v>6.4000000000814907</v>
      </c>
      <c r="N112" t="str">
        <f>IF(tblTickets[[#This Row],[Customer Satisfaction]]&gt;=4,"Satisfied",IF(tblTickets[[#This Row],[Customer Satisfaction]]=3,"Neutral","Dissatisfied"))</f>
        <v>Dissatisfied</v>
      </c>
    </row>
    <row r="113" spans="1:14" x14ac:dyDescent="0.35">
      <c r="A113" t="s">
        <v>174</v>
      </c>
      <c r="B113" s="3">
        <v>45705</v>
      </c>
      <c r="C113" s="3">
        <v>45705.282083333332</v>
      </c>
      <c r="D113" t="s">
        <v>30</v>
      </c>
      <c r="E113" t="s">
        <v>19</v>
      </c>
      <c r="F113" t="s">
        <v>45</v>
      </c>
      <c r="G113" t="s">
        <v>15</v>
      </c>
      <c r="H113">
        <v>24</v>
      </c>
      <c r="I113">
        <v>6.77</v>
      </c>
      <c r="J113">
        <v>4.01</v>
      </c>
      <c r="K113">
        <v>2</v>
      </c>
      <c r="L113" t="str">
        <f>IF(tblTickets[[#This Row],[SLA Target (hrs)]]&gt;=tblTickets[[#This Row],[Actual Resolution Time (hrs)]],"Yes","No")</f>
        <v>Yes</v>
      </c>
      <c r="M113">
        <f>(tblTickets[[#This Row],[Resolved Date]]-tblTickets[[#This Row],[Created Date]])*24</f>
        <v>6.7699999999604188</v>
      </c>
      <c r="N113" t="str">
        <f>IF(tblTickets[[#This Row],[Customer Satisfaction]]&gt;=4,"Satisfied",IF(tblTickets[[#This Row],[Customer Satisfaction]]=3,"Neutral","Dissatisfied"))</f>
        <v>Dissatisfied</v>
      </c>
    </row>
    <row r="114" spans="1:14" x14ac:dyDescent="0.35">
      <c r="A114" t="s">
        <v>288</v>
      </c>
      <c r="B114" s="3">
        <v>45666</v>
      </c>
      <c r="C114" s="3">
        <v>45666.297500000001</v>
      </c>
      <c r="D114" t="s">
        <v>34</v>
      </c>
      <c r="E114" t="s">
        <v>13</v>
      </c>
      <c r="F114" t="s">
        <v>20</v>
      </c>
      <c r="G114" t="s">
        <v>26</v>
      </c>
      <c r="H114">
        <v>8</v>
      </c>
      <c r="I114">
        <v>7.14</v>
      </c>
      <c r="J114">
        <v>7.81</v>
      </c>
      <c r="K114">
        <v>2</v>
      </c>
      <c r="L114" t="str">
        <f>IF(tblTickets[[#This Row],[SLA Target (hrs)]]&gt;=tblTickets[[#This Row],[Actual Resolution Time (hrs)]],"Yes","No")</f>
        <v>Yes</v>
      </c>
      <c r="M114">
        <f>(tblTickets[[#This Row],[Resolved Date]]-tblTickets[[#This Row],[Created Date]])*24</f>
        <v>7.1400000000139698</v>
      </c>
      <c r="N114" t="str">
        <f>IF(tblTickets[[#This Row],[Customer Satisfaction]]&gt;=4,"Satisfied",IF(tblTickets[[#This Row],[Customer Satisfaction]]=3,"Neutral","Dissatisfied"))</f>
        <v>Dissatisfied</v>
      </c>
    </row>
    <row r="115" spans="1:14" x14ac:dyDescent="0.35">
      <c r="A115" t="s">
        <v>213</v>
      </c>
      <c r="B115" s="3">
        <v>45718</v>
      </c>
      <c r="C115" s="3">
        <v>45718.400833333333</v>
      </c>
      <c r="D115" t="s">
        <v>23</v>
      </c>
      <c r="E115" t="s">
        <v>17</v>
      </c>
      <c r="F115" t="s">
        <v>45</v>
      </c>
      <c r="G115" t="s">
        <v>26</v>
      </c>
      <c r="H115">
        <v>24</v>
      </c>
      <c r="I115">
        <v>9.6199999999999992</v>
      </c>
      <c r="J115">
        <v>3.58</v>
      </c>
      <c r="K115">
        <v>2</v>
      </c>
      <c r="L115" t="str">
        <f>IF(tblTickets[[#This Row],[SLA Target (hrs)]]&gt;=tblTickets[[#This Row],[Actual Resolution Time (hrs)]],"Yes","No")</f>
        <v>Yes</v>
      </c>
      <c r="M115">
        <f>(tblTickets[[#This Row],[Resolved Date]]-tblTickets[[#This Row],[Created Date]])*24</f>
        <v>9.6199999999953434</v>
      </c>
      <c r="N115" t="str">
        <f>IF(tblTickets[[#This Row],[Customer Satisfaction]]&gt;=4,"Satisfied",IF(tblTickets[[#This Row],[Customer Satisfaction]]=3,"Neutral","Dissatisfied"))</f>
        <v>Dissatisfied</v>
      </c>
    </row>
    <row r="116" spans="1:14" x14ac:dyDescent="0.35">
      <c r="A116" t="s">
        <v>366</v>
      </c>
      <c r="B116" s="3">
        <v>45721</v>
      </c>
      <c r="C116" s="3">
        <v>45721.612916666672</v>
      </c>
      <c r="D116" t="s">
        <v>34</v>
      </c>
      <c r="E116" t="s">
        <v>13</v>
      </c>
      <c r="F116" t="s">
        <v>41</v>
      </c>
      <c r="G116" t="s">
        <v>21</v>
      </c>
      <c r="H116">
        <v>24</v>
      </c>
      <c r="I116">
        <v>14.71</v>
      </c>
      <c r="J116">
        <v>7.92</v>
      </c>
      <c r="K116">
        <v>2</v>
      </c>
      <c r="L116" t="str">
        <f>IF(tblTickets[[#This Row],[SLA Target (hrs)]]&gt;=tblTickets[[#This Row],[Actual Resolution Time (hrs)]],"Yes","No")</f>
        <v>Yes</v>
      </c>
      <c r="M116">
        <f>(tblTickets[[#This Row],[Resolved Date]]-tblTickets[[#This Row],[Created Date]])*24</f>
        <v>14.71000000013737</v>
      </c>
      <c r="N116" t="str">
        <f>IF(tblTickets[[#This Row],[Customer Satisfaction]]&gt;=4,"Satisfied",IF(tblTickets[[#This Row],[Customer Satisfaction]]=3,"Neutral","Dissatisfied"))</f>
        <v>Dissatisfied</v>
      </c>
    </row>
    <row r="117" spans="1:14" x14ac:dyDescent="0.35">
      <c r="A117" t="s">
        <v>104</v>
      </c>
      <c r="B117" s="3">
        <v>45744</v>
      </c>
      <c r="C117" s="3">
        <v>45744.744583333333</v>
      </c>
      <c r="D117" t="s">
        <v>34</v>
      </c>
      <c r="E117" t="s">
        <v>19</v>
      </c>
      <c r="F117" t="s">
        <v>45</v>
      </c>
      <c r="G117" t="s">
        <v>21</v>
      </c>
      <c r="H117">
        <v>24</v>
      </c>
      <c r="I117">
        <v>17.87</v>
      </c>
      <c r="J117">
        <v>4.47</v>
      </c>
      <c r="K117">
        <v>2</v>
      </c>
      <c r="L117" t="str">
        <f>IF(tblTickets[[#This Row],[SLA Target (hrs)]]&gt;=tblTickets[[#This Row],[Actual Resolution Time (hrs)]],"Yes","No")</f>
        <v>Yes</v>
      </c>
      <c r="M117">
        <f>(tblTickets[[#This Row],[Resolved Date]]-tblTickets[[#This Row],[Created Date]])*24</f>
        <v>17.869999999995343</v>
      </c>
      <c r="N117" t="str">
        <f>IF(tblTickets[[#This Row],[Customer Satisfaction]]&gt;=4,"Satisfied",IF(tblTickets[[#This Row],[Customer Satisfaction]]=3,"Neutral","Dissatisfied"))</f>
        <v>Dissatisfied</v>
      </c>
    </row>
    <row r="118" spans="1:14" x14ac:dyDescent="0.35">
      <c r="A118" t="s">
        <v>247</v>
      </c>
      <c r="B118" s="3">
        <v>45701</v>
      </c>
      <c r="C118" s="3">
        <v>45701.865833333337</v>
      </c>
      <c r="D118" t="s">
        <v>34</v>
      </c>
      <c r="E118" t="s">
        <v>19</v>
      </c>
      <c r="F118" t="s">
        <v>41</v>
      </c>
      <c r="G118" t="s">
        <v>26</v>
      </c>
      <c r="H118">
        <v>24</v>
      </c>
      <c r="I118">
        <v>20.78</v>
      </c>
      <c r="J118">
        <v>1.87</v>
      </c>
      <c r="K118">
        <v>2</v>
      </c>
      <c r="L118" t="str">
        <f>IF(tblTickets[[#This Row],[SLA Target (hrs)]]&gt;=tblTickets[[#This Row],[Actual Resolution Time (hrs)]],"Yes","No")</f>
        <v>Yes</v>
      </c>
      <c r="M118">
        <f>(tblTickets[[#This Row],[Resolved Date]]-tblTickets[[#This Row],[Created Date]])*24</f>
        <v>20.780000000086147</v>
      </c>
      <c r="N118" t="str">
        <f>IF(tblTickets[[#This Row],[Customer Satisfaction]]&gt;=4,"Satisfied",IF(tblTickets[[#This Row],[Customer Satisfaction]]=3,"Neutral","Dissatisfied"))</f>
        <v>Dissatisfied</v>
      </c>
    </row>
    <row r="119" spans="1:14" x14ac:dyDescent="0.35">
      <c r="A119" t="s">
        <v>112</v>
      </c>
      <c r="B119" s="3">
        <v>45717</v>
      </c>
      <c r="C119" s="3">
        <v>45717.929583333331</v>
      </c>
      <c r="D119" t="s">
        <v>12</v>
      </c>
      <c r="E119" t="s">
        <v>17</v>
      </c>
      <c r="F119" t="s">
        <v>45</v>
      </c>
      <c r="G119" t="s">
        <v>21</v>
      </c>
      <c r="H119">
        <v>24</v>
      </c>
      <c r="I119">
        <v>22.31</v>
      </c>
      <c r="J119">
        <v>3.54</v>
      </c>
      <c r="K119">
        <v>2</v>
      </c>
      <c r="L119" t="str">
        <f>IF(tblTickets[[#This Row],[SLA Target (hrs)]]&gt;=tblTickets[[#This Row],[Actual Resolution Time (hrs)]],"Yes","No")</f>
        <v>Yes</v>
      </c>
      <c r="M119">
        <f>(tblTickets[[#This Row],[Resolved Date]]-tblTickets[[#This Row],[Created Date]])*24</f>
        <v>22.309999999939464</v>
      </c>
      <c r="N119" t="str">
        <f>IF(tblTickets[[#This Row],[Customer Satisfaction]]&gt;=4,"Satisfied",IF(tblTickets[[#This Row],[Customer Satisfaction]]=3,"Neutral","Dissatisfied"))</f>
        <v>Dissatisfied</v>
      </c>
    </row>
    <row r="120" spans="1:14" x14ac:dyDescent="0.35">
      <c r="A120" t="s">
        <v>209</v>
      </c>
      <c r="B120" s="3">
        <v>45701</v>
      </c>
      <c r="C120" s="3">
        <v>45701.932916666658</v>
      </c>
      <c r="D120" t="s">
        <v>23</v>
      </c>
      <c r="E120" t="s">
        <v>17</v>
      </c>
      <c r="F120" t="s">
        <v>41</v>
      </c>
      <c r="G120" t="s">
        <v>21</v>
      </c>
      <c r="H120">
        <v>24</v>
      </c>
      <c r="I120">
        <v>22.39</v>
      </c>
      <c r="J120">
        <v>6.12</v>
      </c>
      <c r="K120">
        <v>2</v>
      </c>
      <c r="L120" t="str">
        <f>IF(tblTickets[[#This Row],[SLA Target (hrs)]]&gt;=tblTickets[[#This Row],[Actual Resolution Time (hrs)]],"Yes","No")</f>
        <v>Yes</v>
      </c>
      <c r="M120">
        <f>(tblTickets[[#This Row],[Resolved Date]]-tblTickets[[#This Row],[Created Date]])*24</f>
        <v>22.389999999781139</v>
      </c>
      <c r="N120" t="str">
        <f>IF(tblTickets[[#This Row],[Customer Satisfaction]]&gt;=4,"Satisfied",IF(tblTickets[[#This Row],[Customer Satisfaction]]=3,"Neutral","Dissatisfied"))</f>
        <v>Dissatisfied</v>
      </c>
    </row>
    <row r="121" spans="1:14" x14ac:dyDescent="0.35">
      <c r="A121" t="s">
        <v>167</v>
      </c>
      <c r="B121" s="3">
        <v>45677</v>
      </c>
      <c r="C121" s="3">
        <v>45677.945416666669</v>
      </c>
      <c r="D121" t="s">
        <v>12</v>
      </c>
      <c r="E121" t="s">
        <v>40</v>
      </c>
      <c r="F121" t="s">
        <v>41</v>
      </c>
      <c r="G121" t="s">
        <v>21</v>
      </c>
      <c r="H121">
        <v>24</v>
      </c>
      <c r="I121">
        <v>22.69</v>
      </c>
      <c r="J121">
        <v>4.24</v>
      </c>
      <c r="K121">
        <v>2</v>
      </c>
      <c r="L121" t="str">
        <f>IF(tblTickets[[#This Row],[SLA Target (hrs)]]&gt;=tblTickets[[#This Row],[Actual Resolution Time (hrs)]],"Yes","No")</f>
        <v>Yes</v>
      </c>
      <c r="M121">
        <f>(tblTickets[[#This Row],[Resolved Date]]-tblTickets[[#This Row],[Created Date]])*24</f>
        <v>22.690000000060536</v>
      </c>
      <c r="N121" t="str">
        <f>IF(tblTickets[[#This Row],[Customer Satisfaction]]&gt;=4,"Satisfied",IF(tblTickets[[#This Row],[Customer Satisfaction]]=3,"Neutral","Dissatisfied"))</f>
        <v>Dissatisfied</v>
      </c>
    </row>
    <row r="122" spans="1:14" x14ac:dyDescent="0.35">
      <c r="A122" t="s">
        <v>190</v>
      </c>
      <c r="B122" s="3">
        <v>45676</v>
      </c>
      <c r="C122" s="3">
        <v>45676.986250000002</v>
      </c>
      <c r="D122" t="s">
        <v>23</v>
      </c>
      <c r="E122" t="s">
        <v>17</v>
      </c>
      <c r="F122" t="s">
        <v>14</v>
      </c>
      <c r="G122" t="s">
        <v>26</v>
      </c>
      <c r="H122">
        <v>24</v>
      </c>
      <c r="I122">
        <v>23.67</v>
      </c>
      <c r="J122">
        <v>1.55</v>
      </c>
      <c r="K122">
        <v>2</v>
      </c>
      <c r="L122" t="str">
        <f>IF(tblTickets[[#This Row],[SLA Target (hrs)]]&gt;=tblTickets[[#This Row],[Actual Resolution Time (hrs)]],"Yes","No")</f>
        <v>Yes</v>
      </c>
      <c r="M122">
        <f>(tblTickets[[#This Row],[Resolved Date]]-tblTickets[[#This Row],[Created Date]])*24</f>
        <v>23.67000000004191</v>
      </c>
      <c r="N122" t="str">
        <f>IF(tblTickets[[#This Row],[Customer Satisfaction]]&gt;=4,"Satisfied",IF(tblTickets[[#This Row],[Customer Satisfaction]]=3,"Neutral","Dissatisfied"))</f>
        <v>Dissatisfied</v>
      </c>
    </row>
    <row r="123" spans="1:14" x14ac:dyDescent="0.35">
      <c r="A123" t="s">
        <v>161</v>
      </c>
      <c r="B123" s="3">
        <v>45742</v>
      </c>
      <c r="C123" s="3">
        <v>45742.988749999997</v>
      </c>
      <c r="D123" t="s">
        <v>12</v>
      </c>
      <c r="E123" t="s">
        <v>17</v>
      </c>
      <c r="F123" t="s">
        <v>14</v>
      </c>
      <c r="G123" t="s">
        <v>15</v>
      </c>
      <c r="H123">
        <v>24</v>
      </c>
      <c r="I123">
        <v>23.73</v>
      </c>
      <c r="J123">
        <v>3.75</v>
      </c>
      <c r="K123">
        <v>2</v>
      </c>
      <c r="L123" t="str">
        <f>IF(tblTickets[[#This Row],[SLA Target (hrs)]]&gt;=tblTickets[[#This Row],[Actual Resolution Time (hrs)]],"Yes","No")</f>
        <v>Yes</v>
      </c>
      <c r="M123">
        <f>(tblTickets[[#This Row],[Resolved Date]]-tblTickets[[#This Row],[Created Date]])*24</f>
        <v>23.729999999923166</v>
      </c>
      <c r="N123" t="str">
        <f>IF(tblTickets[[#This Row],[Customer Satisfaction]]&gt;=4,"Satisfied",IF(tblTickets[[#This Row],[Customer Satisfaction]]=3,"Neutral","Dissatisfied"))</f>
        <v>Dissatisfied</v>
      </c>
    </row>
    <row r="124" spans="1:14" x14ac:dyDescent="0.35">
      <c r="A124" t="s">
        <v>233</v>
      </c>
      <c r="B124" s="3">
        <v>45674</v>
      </c>
      <c r="C124" s="3">
        <v>45675.473749999997</v>
      </c>
      <c r="D124" t="s">
        <v>30</v>
      </c>
      <c r="E124" t="s">
        <v>19</v>
      </c>
      <c r="F124" t="s">
        <v>45</v>
      </c>
      <c r="G124" t="s">
        <v>26</v>
      </c>
      <c r="H124">
        <v>4</v>
      </c>
      <c r="I124">
        <v>35.369999999999997</v>
      </c>
      <c r="J124">
        <v>2.09</v>
      </c>
      <c r="K124">
        <v>2</v>
      </c>
      <c r="L124" t="str">
        <f>IF(tblTickets[[#This Row],[SLA Target (hrs)]]&gt;=tblTickets[[#This Row],[Actual Resolution Time (hrs)]],"Yes","No")</f>
        <v>No</v>
      </c>
      <c r="M124">
        <f>(tblTickets[[#This Row],[Resolved Date]]-tblTickets[[#This Row],[Created Date]])*24</f>
        <v>35.369999999937136</v>
      </c>
      <c r="N124" t="str">
        <f>IF(tblTickets[[#This Row],[Customer Satisfaction]]&gt;=4,"Satisfied",IF(tblTickets[[#This Row],[Customer Satisfaction]]=3,"Neutral","Dissatisfied"))</f>
        <v>Dissatisfied</v>
      </c>
    </row>
    <row r="125" spans="1:14" x14ac:dyDescent="0.35">
      <c r="A125" t="s">
        <v>32</v>
      </c>
      <c r="B125" s="3">
        <v>45726</v>
      </c>
      <c r="C125" s="3">
        <v>45727.488333333327</v>
      </c>
      <c r="D125" t="s">
        <v>30</v>
      </c>
      <c r="E125" t="s">
        <v>19</v>
      </c>
      <c r="F125" t="s">
        <v>14</v>
      </c>
      <c r="G125" t="s">
        <v>26</v>
      </c>
      <c r="H125">
        <v>8</v>
      </c>
      <c r="I125">
        <v>35.72</v>
      </c>
      <c r="J125">
        <v>6.95</v>
      </c>
      <c r="K125">
        <v>2</v>
      </c>
      <c r="L125" t="str">
        <f>IF(tblTickets[[#This Row],[SLA Target (hrs)]]&gt;=tblTickets[[#This Row],[Actual Resolution Time (hrs)]],"Yes","No")</f>
        <v>No</v>
      </c>
      <c r="M125">
        <f>(tblTickets[[#This Row],[Resolved Date]]-tblTickets[[#This Row],[Created Date]])*24</f>
        <v>35.719999999855645</v>
      </c>
      <c r="N125" t="str">
        <f>IF(tblTickets[[#This Row],[Customer Satisfaction]]&gt;=4,"Satisfied",IF(tblTickets[[#This Row],[Customer Satisfaction]]=3,"Neutral","Dissatisfied"))</f>
        <v>Dissatisfied</v>
      </c>
    </row>
    <row r="126" spans="1:14" x14ac:dyDescent="0.35">
      <c r="A126" t="s">
        <v>195</v>
      </c>
      <c r="B126" s="3">
        <v>45729</v>
      </c>
      <c r="C126" s="3">
        <v>45730.499166666668</v>
      </c>
      <c r="D126" t="s">
        <v>30</v>
      </c>
      <c r="E126" t="s">
        <v>40</v>
      </c>
      <c r="F126" t="s">
        <v>41</v>
      </c>
      <c r="G126" t="s">
        <v>26</v>
      </c>
      <c r="H126">
        <v>8</v>
      </c>
      <c r="I126">
        <v>35.979999999999997</v>
      </c>
      <c r="J126">
        <v>3.6</v>
      </c>
      <c r="K126">
        <v>2</v>
      </c>
      <c r="L126" t="str">
        <f>IF(tblTickets[[#This Row],[SLA Target (hrs)]]&gt;=tblTickets[[#This Row],[Actual Resolution Time (hrs)]],"Yes","No")</f>
        <v>No</v>
      </c>
      <c r="M126">
        <f>(tblTickets[[#This Row],[Resolved Date]]-tblTickets[[#This Row],[Created Date]])*24</f>
        <v>35.980000000039581</v>
      </c>
      <c r="N126" t="str">
        <f>IF(tblTickets[[#This Row],[Customer Satisfaction]]&gt;=4,"Satisfied",IF(tblTickets[[#This Row],[Customer Satisfaction]]=3,"Neutral","Dissatisfied"))</f>
        <v>Dissatisfied</v>
      </c>
    </row>
    <row r="127" spans="1:14" x14ac:dyDescent="0.35">
      <c r="A127" t="s">
        <v>323</v>
      </c>
      <c r="B127" s="3">
        <v>45699</v>
      </c>
      <c r="C127" s="3">
        <v>45700.52375</v>
      </c>
      <c r="D127" t="s">
        <v>30</v>
      </c>
      <c r="E127" t="s">
        <v>40</v>
      </c>
      <c r="F127" t="s">
        <v>45</v>
      </c>
      <c r="G127" t="s">
        <v>21</v>
      </c>
      <c r="H127">
        <v>4</v>
      </c>
      <c r="I127">
        <v>36.57</v>
      </c>
      <c r="J127">
        <v>4.03</v>
      </c>
      <c r="K127">
        <v>2</v>
      </c>
      <c r="L127" t="str">
        <f>IF(tblTickets[[#This Row],[SLA Target (hrs)]]&gt;=tblTickets[[#This Row],[Actual Resolution Time (hrs)]],"Yes","No")</f>
        <v>No</v>
      </c>
      <c r="M127">
        <f>(tblTickets[[#This Row],[Resolved Date]]-tblTickets[[#This Row],[Created Date]])*24</f>
        <v>36.570000000006985</v>
      </c>
      <c r="N127" t="str">
        <f>IF(tblTickets[[#This Row],[Customer Satisfaction]]&gt;=4,"Satisfied",IF(tblTickets[[#This Row],[Customer Satisfaction]]=3,"Neutral","Dissatisfied"))</f>
        <v>Dissatisfied</v>
      </c>
    </row>
    <row r="128" spans="1:14" x14ac:dyDescent="0.35">
      <c r="A128" t="s">
        <v>46</v>
      </c>
      <c r="B128" s="3">
        <v>45676</v>
      </c>
      <c r="C128" s="3">
        <v>45677.526250000003</v>
      </c>
      <c r="D128" t="s">
        <v>30</v>
      </c>
      <c r="E128" t="s">
        <v>17</v>
      </c>
      <c r="F128" t="s">
        <v>41</v>
      </c>
      <c r="G128" t="s">
        <v>26</v>
      </c>
      <c r="H128">
        <v>4</v>
      </c>
      <c r="I128">
        <v>36.630000000000003</v>
      </c>
      <c r="J128">
        <v>4.4400000000000004</v>
      </c>
      <c r="K128">
        <v>2</v>
      </c>
      <c r="L128" t="str">
        <f>IF(tblTickets[[#This Row],[SLA Target (hrs)]]&gt;=tblTickets[[#This Row],[Actual Resolution Time (hrs)]],"Yes","No")</f>
        <v>No</v>
      </c>
      <c r="M128">
        <f>(tblTickets[[#This Row],[Resolved Date]]-tblTickets[[#This Row],[Created Date]])*24</f>
        <v>36.630000000062864</v>
      </c>
      <c r="N128" t="str">
        <f>IF(tblTickets[[#This Row],[Customer Satisfaction]]&gt;=4,"Satisfied",IF(tblTickets[[#This Row],[Customer Satisfaction]]=3,"Neutral","Dissatisfied"))</f>
        <v>Dissatisfied</v>
      </c>
    </row>
    <row r="129" spans="1:14" x14ac:dyDescent="0.35">
      <c r="A129" t="s">
        <v>240</v>
      </c>
      <c r="B129" s="3">
        <v>45695</v>
      </c>
      <c r="C129" s="3">
        <v>45696.557083333333</v>
      </c>
      <c r="D129" t="s">
        <v>12</v>
      </c>
      <c r="E129" t="s">
        <v>19</v>
      </c>
      <c r="F129" t="s">
        <v>41</v>
      </c>
      <c r="G129" t="s">
        <v>26</v>
      </c>
      <c r="H129">
        <v>24</v>
      </c>
      <c r="I129">
        <v>37.369999999999997</v>
      </c>
      <c r="J129">
        <v>5.63</v>
      </c>
      <c r="K129">
        <v>2</v>
      </c>
      <c r="L129" t="str">
        <f>IF(tblTickets[[#This Row],[SLA Target (hrs)]]&gt;=tblTickets[[#This Row],[Actual Resolution Time (hrs)]],"Yes","No")</f>
        <v>No</v>
      </c>
      <c r="M129">
        <f>(tblTickets[[#This Row],[Resolved Date]]-tblTickets[[#This Row],[Created Date]])*24</f>
        <v>37.369999999995343</v>
      </c>
      <c r="N129" t="str">
        <f>IF(tblTickets[[#This Row],[Customer Satisfaction]]&gt;=4,"Satisfied",IF(tblTickets[[#This Row],[Customer Satisfaction]]=3,"Neutral","Dissatisfied"))</f>
        <v>Dissatisfied</v>
      </c>
    </row>
    <row r="130" spans="1:14" x14ac:dyDescent="0.35">
      <c r="A130" t="s">
        <v>435</v>
      </c>
      <c r="B130" s="3">
        <v>45674</v>
      </c>
      <c r="C130" s="3">
        <v>45675.557916666658</v>
      </c>
      <c r="D130" t="s">
        <v>30</v>
      </c>
      <c r="E130" t="s">
        <v>19</v>
      </c>
      <c r="F130" t="s">
        <v>14</v>
      </c>
      <c r="G130" t="s">
        <v>26</v>
      </c>
      <c r="H130">
        <v>4</v>
      </c>
      <c r="I130">
        <v>37.39</v>
      </c>
      <c r="J130">
        <v>6.02</v>
      </c>
      <c r="K130">
        <v>2</v>
      </c>
      <c r="L130" t="str">
        <f>IF(tblTickets[[#This Row],[SLA Target (hrs)]]&gt;=tblTickets[[#This Row],[Actual Resolution Time (hrs)]],"Yes","No")</f>
        <v>No</v>
      </c>
      <c r="M130">
        <f>(tblTickets[[#This Row],[Resolved Date]]-tblTickets[[#This Row],[Created Date]])*24</f>
        <v>37.389999999781139</v>
      </c>
      <c r="N130" t="str">
        <f>IF(tblTickets[[#This Row],[Customer Satisfaction]]&gt;=4,"Satisfied",IF(tblTickets[[#This Row],[Customer Satisfaction]]=3,"Neutral","Dissatisfied"))</f>
        <v>Dissatisfied</v>
      </c>
    </row>
    <row r="131" spans="1:14" x14ac:dyDescent="0.35">
      <c r="A131" t="s">
        <v>444</v>
      </c>
      <c r="B131" s="3">
        <v>45658</v>
      </c>
      <c r="C131" s="3">
        <v>45659.573750000003</v>
      </c>
      <c r="D131" t="s">
        <v>30</v>
      </c>
      <c r="E131" t="s">
        <v>13</v>
      </c>
      <c r="F131" t="s">
        <v>41</v>
      </c>
      <c r="G131" t="s">
        <v>15</v>
      </c>
      <c r="H131">
        <v>4</v>
      </c>
      <c r="I131">
        <v>37.770000000000003</v>
      </c>
      <c r="J131">
        <v>2.02</v>
      </c>
      <c r="K131">
        <v>2</v>
      </c>
      <c r="L131" t="str">
        <f>IF(tblTickets[[#This Row],[SLA Target (hrs)]]&gt;=tblTickets[[#This Row],[Actual Resolution Time (hrs)]],"Yes","No")</f>
        <v>No</v>
      </c>
      <c r="M131">
        <f>(tblTickets[[#This Row],[Resolved Date]]-tblTickets[[#This Row],[Created Date]])*24</f>
        <v>37.770000000076834</v>
      </c>
      <c r="N131" t="str">
        <f>IF(tblTickets[[#This Row],[Customer Satisfaction]]&gt;=4,"Satisfied",IF(tblTickets[[#This Row],[Customer Satisfaction]]=3,"Neutral","Dissatisfied"))</f>
        <v>Dissatisfied</v>
      </c>
    </row>
    <row r="132" spans="1:14" x14ac:dyDescent="0.35">
      <c r="A132" t="s">
        <v>256</v>
      </c>
      <c r="B132" s="3">
        <v>45698</v>
      </c>
      <c r="C132" s="3">
        <v>45699.574583333328</v>
      </c>
      <c r="D132" t="s">
        <v>30</v>
      </c>
      <c r="E132" t="s">
        <v>13</v>
      </c>
      <c r="F132" t="s">
        <v>41</v>
      </c>
      <c r="G132" t="s">
        <v>21</v>
      </c>
      <c r="H132">
        <v>24</v>
      </c>
      <c r="I132">
        <v>37.79</v>
      </c>
      <c r="J132">
        <v>6.5</v>
      </c>
      <c r="K132">
        <v>2</v>
      </c>
      <c r="L132" t="str">
        <f>IF(tblTickets[[#This Row],[SLA Target (hrs)]]&gt;=tblTickets[[#This Row],[Actual Resolution Time (hrs)]],"Yes","No")</f>
        <v>No</v>
      </c>
      <c r="M132">
        <f>(tblTickets[[#This Row],[Resolved Date]]-tblTickets[[#This Row],[Created Date]])*24</f>
        <v>37.78999999986263</v>
      </c>
      <c r="N132" t="str">
        <f>IF(tblTickets[[#This Row],[Customer Satisfaction]]&gt;=4,"Satisfied",IF(tblTickets[[#This Row],[Customer Satisfaction]]=3,"Neutral","Dissatisfied"))</f>
        <v>Dissatisfied</v>
      </c>
    </row>
    <row r="133" spans="1:14" x14ac:dyDescent="0.35">
      <c r="A133" t="s">
        <v>526</v>
      </c>
      <c r="B133" s="3">
        <v>45678</v>
      </c>
      <c r="C133" s="3">
        <v>45679.580833333333</v>
      </c>
      <c r="D133" t="s">
        <v>12</v>
      </c>
      <c r="E133" t="s">
        <v>19</v>
      </c>
      <c r="F133" t="s">
        <v>45</v>
      </c>
      <c r="G133" t="s">
        <v>21</v>
      </c>
      <c r="H133">
        <v>24</v>
      </c>
      <c r="I133">
        <v>37.94</v>
      </c>
      <c r="J133">
        <v>1.28</v>
      </c>
      <c r="K133">
        <v>2</v>
      </c>
      <c r="L133" t="str">
        <f>IF(tblTickets[[#This Row],[SLA Target (hrs)]]&gt;=tblTickets[[#This Row],[Actual Resolution Time (hrs)]],"Yes","No")</f>
        <v>No</v>
      </c>
      <c r="M133">
        <f>(tblTickets[[#This Row],[Resolved Date]]-tblTickets[[#This Row],[Created Date]])*24</f>
        <v>37.940000000002328</v>
      </c>
      <c r="N133" t="str">
        <f>IF(tblTickets[[#This Row],[Customer Satisfaction]]&gt;=4,"Satisfied",IF(tblTickets[[#This Row],[Customer Satisfaction]]=3,"Neutral","Dissatisfied"))</f>
        <v>Dissatisfied</v>
      </c>
    </row>
    <row r="134" spans="1:14" x14ac:dyDescent="0.35">
      <c r="A134" t="s">
        <v>78</v>
      </c>
      <c r="B134" s="3">
        <v>45715</v>
      </c>
      <c r="C134" s="3">
        <v>45716.584166666667</v>
      </c>
      <c r="D134" t="s">
        <v>30</v>
      </c>
      <c r="E134" t="s">
        <v>40</v>
      </c>
      <c r="F134" t="s">
        <v>14</v>
      </c>
      <c r="G134" t="s">
        <v>26</v>
      </c>
      <c r="H134">
        <v>4</v>
      </c>
      <c r="I134">
        <v>38.020000000000003</v>
      </c>
      <c r="J134">
        <v>5.55</v>
      </c>
      <c r="K134">
        <v>2</v>
      </c>
      <c r="L134" t="str">
        <f>IF(tblTickets[[#This Row],[SLA Target (hrs)]]&gt;=tblTickets[[#This Row],[Actual Resolution Time (hrs)]],"Yes","No")</f>
        <v>No</v>
      </c>
      <c r="M134">
        <f>(tblTickets[[#This Row],[Resolved Date]]-tblTickets[[#This Row],[Created Date]])*24</f>
        <v>38.020000000018626</v>
      </c>
      <c r="N134" t="str">
        <f>IF(tblTickets[[#This Row],[Customer Satisfaction]]&gt;=4,"Satisfied",IF(tblTickets[[#This Row],[Customer Satisfaction]]=3,"Neutral","Dissatisfied"))</f>
        <v>Dissatisfied</v>
      </c>
    </row>
    <row r="135" spans="1:14" x14ac:dyDescent="0.35">
      <c r="A135" t="s">
        <v>59</v>
      </c>
      <c r="B135" s="3">
        <v>45710</v>
      </c>
      <c r="C135" s="3">
        <v>45711.59</v>
      </c>
      <c r="D135" t="s">
        <v>23</v>
      </c>
      <c r="E135" t="s">
        <v>13</v>
      </c>
      <c r="F135" t="s">
        <v>14</v>
      </c>
      <c r="G135" t="s">
        <v>15</v>
      </c>
      <c r="H135">
        <v>8</v>
      </c>
      <c r="I135">
        <v>38.159999999999997</v>
      </c>
      <c r="J135">
        <v>0.86</v>
      </c>
      <c r="K135">
        <v>2</v>
      </c>
      <c r="L135" t="str">
        <f>IF(tblTickets[[#This Row],[SLA Target (hrs)]]&gt;=tblTickets[[#This Row],[Actual Resolution Time (hrs)]],"Yes","No")</f>
        <v>No</v>
      </c>
      <c r="M135">
        <f>(tblTickets[[#This Row],[Resolved Date]]-tblTickets[[#This Row],[Created Date]])*24</f>
        <v>38.159999999916181</v>
      </c>
      <c r="N135" t="str">
        <f>IF(tblTickets[[#This Row],[Customer Satisfaction]]&gt;=4,"Satisfied",IF(tblTickets[[#This Row],[Customer Satisfaction]]=3,"Neutral","Dissatisfied"))</f>
        <v>Dissatisfied</v>
      </c>
    </row>
    <row r="136" spans="1:14" x14ac:dyDescent="0.35">
      <c r="A136" t="s">
        <v>37</v>
      </c>
      <c r="B136" s="3">
        <v>45709</v>
      </c>
      <c r="C136" s="3">
        <v>45710.595000000001</v>
      </c>
      <c r="D136" t="s">
        <v>30</v>
      </c>
      <c r="E136" t="s">
        <v>13</v>
      </c>
      <c r="F136" t="s">
        <v>25</v>
      </c>
      <c r="G136" t="s">
        <v>15</v>
      </c>
      <c r="H136">
        <v>8</v>
      </c>
      <c r="I136">
        <v>38.28</v>
      </c>
      <c r="J136">
        <v>5.79</v>
      </c>
      <c r="K136">
        <v>2</v>
      </c>
      <c r="L136" t="str">
        <f>IF(tblTickets[[#This Row],[SLA Target (hrs)]]&gt;=tblTickets[[#This Row],[Actual Resolution Time (hrs)]],"Yes","No")</f>
        <v>No</v>
      </c>
      <c r="M136">
        <f>(tblTickets[[#This Row],[Resolved Date]]-tblTickets[[#This Row],[Created Date]])*24</f>
        <v>38.28000000002794</v>
      </c>
      <c r="N136" t="str">
        <f>IF(tblTickets[[#This Row],[Customer Satisfaction]]&gt;=4,"Satisfied",IF(tblTickets[[#This Row],[Customer Satisfaction]]=3,"Neutral","Dissatisfied"))</f>
        <v>Dissatisfied</v>
      </c>
    </row>
    <row r="137" spans="1:14" x14ac:dyDescent="0.35">
      <c r="A137" t="s">
        <v>99</v>
      </c>
      <c r="B137" s="3">
        <v>45730</v>
      </c>
      <c r="C137" s="3">
        <v>45731.605000000003</v>
      </c>
      <c r="D137" t="s">
        <v>23</v>
      </c>
      <c r="E137" t="s">
        <v>17</v>
      </c>
      <c r="F137" t="s">
        <v>45</v>
      </c>
      <c r="G137" t="s">
        <v>15</v>
      </c>
      <c r="H137">
        <v>4</v>
      </c>
      <c r="I137">
        <v>38.520000000000003</v>
      </c>
      <c r="J137">
        <v>1.17</v>
      </c>
      <c r="K137">
        <v>2</v>
      </c>
      <c r="L137" t="str">
        <f>IF(tblTickets[[#This Row],[SLA Target (hrs)]]&gt;=tblTickets[[#This Row],[Actual Resolution Time (hrs)]],"Yes","No")</f>
        <v>No</v>
      </c>
      <c r="M137">
        <f>(tblTickets[[#This Row],[Resolved Date]]-tblTickets[[#This Row],[Created Date]])*24</f>
        <v>38.520000000076834</v>
      </c>
      <c r="N137" t="str">
        <f>IF(tblTickets[[#This Row],[Customer Satisfaction]]&gt;=4,"Satisfied",IF(tblTickets[[#This Row],[Customer Satisfaction]]=3,"Neutral","Dissatisfied"))</f>
        <v>Dissatisfied</v>
      </c>
    </row>
    <row r="138" spans="1:14" x14ac:dyDescent="0.35">
      <c r="A138" t="s">
        <v>484</v>
      </c>
      <c r="B138" s="3">
        <v>45704</v>
      </c>
      <c r="C138" s="3">
        <v>45705.622916666667</v>
      </c>
      <c r="D138" t="s">
        <v>23</v>
      </c>
      <c r="E138" t="s">
        <v>19</v>
      </c>
      <c r="F138" t="s">
        <v>14</v>
      </c>
      <c r="G138" t="s">
        <v>26</v>
      </c>
      <c r="H138">
        <v>4</v>
      </c>
      <c r="I138">
        <v>38.950000000000003</v>
      </c>
      <c r="J138">
        <v>5.23</v>
      </c>
      <c r="K138">
        <v>2</v>
      </c>
      <c r="L138" t="str">
        <f>IF(tblTickets[[#This Row],[SLA Target (hrs)]]&gt;=tblTickets[[#This Row],[Actual Resolution Time (hrs)]],"Yes","No")</f>
        <v>No</v>
      </c>
      <c r="M138">
        <f>(tblTickets[[#This Row],[Resolved Date]]-tblTickets[[#This Row],[Created Date]])*24</f>
        <v>38.950000000011642</v>
      </c>
      <c r="N138" t="str">
        <f>IF(tblTickets[[#This Row],[Customer Satisfaction]]&gt;=4,"Satisfied",IF(tblTickets[[#This Row],[Customer Satisfaction]]=3,"Neutral","Dissatisfied"))</f>
        <v>Dissatisfied</v>
      </c>
    </row>
    <row r="139" spans="1:14" x14ac:dyDescent="0.35">
      <c r="A139" t="s">
        <v>350</v>
      </c>
      <c r="B139" s="3">
        <v>45717</v>
      </c>
      <c r="C139" s="3">
        <v>45718.640833333331</v>
      </c>
      <c r="D139" t="s">
        <v>12</v>
      </c>
      <c r="E139" t="s">
        <v>40</v>
      </c>
      <c r="F139" t="s">
        <v>45</v>
      </c>
      <c r="G139" t="s">
        <v>15</v>
      </c>
      <c r="H139">
        <v>4</v>
      </c>
      <c r="I139">
        <v>39.380000000000003</v>
      </c>
      <c r="J139">
        <v>0.88</v>
      </c>
      <c r="K139">
        <v>2</v>
      </c>
      <c r="L139" t="str">
        <f>IF(tblTickets[[#This Row],[SLA Target (hrs)]]&gt;=tblTickets[[#This Row],[Actual Resolution Time (hrs)]],"Yes","No")</f>
        <v>No</v>
      </c>
      <c r="M139">
        <f>(tblTickets[[#This Row],[Resolved Date]]-tblTickets[[#This Row],[Created Date]])*24</f>
        <v>39.379999999946449</v>
      </c>
      <c r="N139" t="str">
        <f>IF(tblTickets[[#This Row],[Customer Satisfaction]]&gt;=4,"Satisfied",IF(tblTickets[[#This Row],[Customer Satisfaction]]=3,"Neutral","Dissatisfied"))</f>
        <v>Dissatisfied</v>
      </c>
    </row>
    <row r="140" spans="1:14" x14ac:dyDescent="0.35">
      <c r="A140" t="s">
        <v>244</v>
      </c>
      <c r="B140" s="3">
        <v>45708</v>
      </c>
      <c r="C140" s="3">
        <v>45709.64875</v>
      </c>
      <c r="D140" t="s">
        <v>34</v>
      </c>
      <c r="E140" t="s">
        <v>13</v>
      </c>
      <c r="F140" t="s">
        <v>25</v>
      </c>
      <c r="G140" t="s">
        <v>26</v>
      </c>
      <c r="H140">
        <v>24</v>
      </c>
      <c r="I140">
        <v>39.57</v>
      </c>
      <c r="J140">
        <v>5.22</v>
      </c>
      <c r="K140">
        <v>2</v>
      </c>
      <c r="L140" t="str">
        <f>IF(tblTickets[[#This Row],[SLA Target (hrs)]]&gt;=tblTickets[[#This Row],[Actual Resolution Time (hrs)]],"Yes","No")</f>
        <v>No</v>
      </c>
      <c r="M140">
        <f>(tblTickets[[#This Row],[Resolved Date]]-tblTickets[[#This Row],[Created Date]])*24</f>
        <v>39.570000000006985</v>
      </c>
      <c r="N140" t="str">
        <f>IF(tblTickets[[#This Row],[Customer Satisfaction]]&gt;=4,"Satisfied",IF(tblTickets[[#This Row],[Customer Satisfaction]]=3,"Neutral","Dissatisfied"))</f>
        <v>Dissatisfied</v>
      </c>
    </row>
    <row r="141" spans="1:14" x14ac:dyDescent="0.35">
      <c r="A141" t="s">
        <v>238</v>
      </c>
      <c r="B141" s="3">
        <v>45711</v>
      </c>
      <c r="C141" s="3">
        <v>45712.675000000003</v>
      </c>
      <c r="D141" t="s">
        <v>30</v>
      </c>
      <c r="E141" t="s">
        <v>40</v>
      </c>
      <c r="F141" t="s">
        <v>41</v>
      </c>
      <c r="G141" t="s">
        <v>26</v>
      </c>
      <c r="H141">
        <v>8</v>
      </c>
      <c r="I141">
        <v>40.200000000000003</v>
      </c>
      <c r="J141">
        <v>5.25</v>
      </c>
      <c r="K141">
        <v>2</v>
      </c>
      <c r="L141" t="str">
        <f>IF(tblTickets[[#This Row],[SLA Target (hrs)]]&gt;=tblTickets[[#This Row],[Actual Resolution Time (hrs)]],"Yes","No")</f>
        <v>No</v>
      </c>
      <c r="M141">
        <f>(tblTickets[[#This Row],[Resolved Date]]-tblTickets[[#This Row],[Created Date]])*24</f>
        <v>40.200000000069849</v>
      </c>
      <c r="N141" t="str">
        <f>IF(tblTickets[[#This Row],[Customer Satisfaction]]&gt;=4,"Satisfied",IF(tblTickets[[#This Row],[Customer Satisfaction]]=3,"Neutral","Dissatisfied"))</f>
        <v>Dissatisfied</v>
      </c>
    </row>
    <row r="142" spans="1:14" x14ac:dyDescent="0.35">
      <c r="A142" t="s">
        <v>39</v>
      </c>
      <c r="B142" s="3">
        <v>45735</v>
      </c>
      <c r="C142" s="3">
        <v>45736.763333333343</v>
      </c>
      <c r="D142" t="s">
        <v>34</v>
      </c>
      <c r="E142" t="s">
        <v>40</v>
      </c>
      <c r="F142" t="s">
        <v>41</v>
      </c>
      <c r="G142" t="s">
        <v>15</v>
      </c>
      <c r="H142">
        <v>8</v>
      </c>
      <c r="I142">
        <v>42.32</v>
      </c>
      <c r="J142">
        <v>0.51</v>
      </c>
      <c r="K142">
        <v>2</v>
      </c>
      <c r="L142" t="str">
        <f>IF(tblTickets[[#This Row],[SLA Target (hrs)]]&gt;=tblTickets[[#This Row],[Actual Resolution Time (hrs)]],"Yes","No")</f>
        <v>No</v>
      </c>
      <c r="M142">
        <f>(tblTickets[[#This Row],[Resolved Date]]-tblTickets[[#This Row],[Created Date]])*24</f>
        <v>42.320000000239816</v>
      </c>
      <c r="N142" t="str">
        <f>IF(tblTickets[[#This Row],[Customer Satisfaction]]&gt;=4,"Satisfied",IF(tblTickets[[#This Row],[Customer Satisfaction]]=3,"Neutral","Dissatisfied"))</f>
        <v>Dissatisfied</v>
      </c>
    </row>
    <row r="143" spans="1:14" x14ac:dyDescent="0.35">
      <c r="A143" t="s">
        <v>409</v>
      </c>
      <c r="B143" s="3">
        <v>45686</v>
      </c>
      <c r="C143" s="3">
        <v>45687.808749999997</v>
      </c>
      <c r="D143" t="s">
        <v>30</v>
      </c>
      <c r="E143" t="s">
        <v>17</v>
      </c>
      <c r="F143" t="s">
        <v>45</v>
      </c>
      <c r="G143" t="s">
        <v>26</v>
      </c>
      <c r="H143">
        <v>24</v>
      </c>
      <c r="I143">
        <v>43.41</v>
      </c>
      <c r="J143">
        <v>3.77</v>
      </c>
      <c r="K143">
        <v>2</v>
      </c>
      <c r="L143" t="str">
        <f>IF(tblTickets[[#This Row],[SLA Target (hrs)]]&gt;=tblTickets[[#This Row],[Actual Resolution Time (hrs)]],"Yes","No")</f>
        <v>No</v>
      </c>
      <c r="M143">
        <f>(tblTickets[[#This Row],[Resolved Date]]-tblTickets[[#This Row],[Created Date]])*24</f>
        <v>43.409999999916181</v>
      </c>
      <c r="N143" t="str">
        <f>IF(tblTickets[[#This Row],[Customer Satisfaction]]&gt;=4,"Satisfied",IF(tblTickets[[#This Row],[Customer Satisfaction]]=3,"Neutral","Dissatisfied"))</f>
        <v>Dissatisfied</v>
      </c>
    </row>
    <row r="144" spans="1:14" x14ac:dyDescent="0.35">
      <c r="A144" t="s">
        <v>227</v>
      </c>
      <c r="B144" s="3">
        <v>45744</v>
      </c>
      <c r="C144" s="3">
        <v>45745.824999999997</v>
      </c>
      <c r="D144" t="s">
        <v>12</v>
      </c>
      <c r="E144" t="s">
        <v>13</v>
      </c>
      <c r="F144" t="s">
        <v>41</v>
      </c>
      <c r="G144" t="s">
        <v>15</v>
      </c>
      <c r="H144">
        <v>24</v>
      </c>
      <c r="I144">
        <v>43.8</v>
      </c>
      <c r="J144">
        <v>0.54</v>
      </c>
      <c r="K144">
        <v>2</v>
      </c>
      <c r="L144" t="str">
        <f>IF(tblTickets[[#This Row],[SLA Target (hrs)]]&gt;=tblTickets[[#This Row],[Actual Resolution Time (hrs)]],"Yes","No")</f>
        <v>No</v>
      </c>
      <c r="M144">
        <f>(tblTickets[[#This Row],[Resolved Date]]-tblTickets[[#This Row],[Created Date]])*24</f>
        <v>43.799999999930151</v>
      </c>
      <c r="N144" t="str">
        <f>IF(tblTickets[[#This Row],[Customer Satisfaction]]&gt;=4,"Satisfied",IF(tblTickets[[#This Row],[Customer Satisfaction]]=3,"Neutral","Dissatisfied"))</f>
        <v>Dissatisfied</v>
      </c>
    </row>
    <row r="145" spans="1:14" x14ac:dyDescent="0.35">
      <c r="A145" t="s">
        <v>326</v>
      </c>
      <c r="B145" s="3">
        <v>45676</v>
      </c>
      <c r="C145" s="3">
        <v>45677.859583333331</v>
      </c>
      <c r="D145" t="s">
        <v>34</v>
      </c>
      <c r="E145" t="s">
        <v>17</v>
      </c>
      <c r="F145" t="s">
        <v>25</v>
      </c>
      <c r="G145" t="s">
        <v>21</v>
      </c>
      <c r="H145">
        <v>24</v>
      </c>
      <c r="I145">
        <v>44.63</v>
      </c>
      <c r="J145">
        <v>3.06</v>
      </c>
      <c r="K145">
        <v>2</v>
      </c>
      <c r="L145" t="str">
        <f>IF(tblTickets[[#This Row],[SLA Target (hrs)]]&gt;=tblTickets[[#This Row],[Actual Resolution Time (hrs)]],"Yes","No")</f>
        <v>No</v>
      </c>
      <c r="M145">
        <f>(tblTickets[[#This Row],[Resolved Date]]-tblTickets[[#This Row],[Created Date]])*24</f>
        <v>44.629999999946449</v>
      </c>
      <c r="N145" t="str">
        <f>IF(tblTickets[[#This Row],[Customer Satisfaction]]&gt;=4,"Satisfied",IF(tblTickets[[#This Row],[Customer Satisfaction]]=3,"Neutral","Dissatisfied"))</f>
        <v>Dissatisfied</v>
      </c>
    </row>
    <row r="146" spans="1:14" x14ac:dyDescent="0.35">
      <c r="A146" t="s">
        <v>192</v>
      </c>
      <c r="B146" s="3">
        <v>45668</v>
      </c>
      <c r="C146" s="3">
        <v>45669.890833333331</v>
      </c>
      <c r="D146" t="s">
        <v>23</v>
      </c>
      <c r="E146" t="s">
        <v>17</v>
      </c>
      <c r="F146" t="s">
        <v>25</v>
      </c>
      <c r="G146" t="s">
        <v>21</v>
      </c>
      <c r="H146">
        <v>24</v>
      </c>
      <c r="I146">
        <v>45.38</v>
      </c>
      <c r="J146">
        <v>6.7</v>
      </c>
      <c r="K146">
        <v>2</v>
      </c>
      <c r="L146" t="str">
        <f>IF(tblTickets[[#This Row],[SLA Target (hrs)]]&gt;=tblTickets[[#This Row],[Actual Resolution Time (hrs)]],"Yes","No")</f>
        <v>No</v>
      </c>
      <c r="M146">
        <f>(tblTickets[[#This Row],[Resolved Date]]-tblTickets[[#This Row],[Created Date]])*24</f>
        <v>45.379999999946449</v>
      </c>
      <c r="N146" t="str">
        <f>IF(tblTickets[[#This Row],[Customer Satisfaction]]&gt;=4,"Satisfied",IF(tblTickets[[#This Row],[Customer Satisfaction]]=3,"Neutral","Dissatisfied"))</f>
        <v>Dissatisfied</v>
      </c>
    </row>
    <row r="147" spans="1:14" x14ac:dyDescent="0.35">
      <c r="A147" t="s">
        <v>70</v>
      </c>
      <c r="B147" s="3">
        <v>45691</v>
      </c>
      <c r="C147" s="3">
        <v>45692.916666666657</v>
      </c>
      <c r="D147" t="s">
        <v>34</v>
      </c>
      <c r="E147" t="s">
        <v>13</v>
      </c>
      <c r="F147" t="s">
        <v>25</v>
      </c>
      <c r="G147" t="s">
        <v>21</v>
      </c>
      <c r="H147">
        <v>8</v>
      </c>
      <c r="I147">
        <v>46</v>
      </c>
      <c r="J147">
        <v>6.23</v>
      </c>
      <c r="K147">
        <v>2</v>
      </c>
      <c r="L147" t="str">
        <f>IF(tblTickets[[#This Row],[SLA Target (hrs)]]&gt;=tblTickets[[#This Row],[Actual Resolution Time (hrs)]],"Yes","No")</f>
        <v>No</v>
      </c>
      <c r="M147">
        <f>(tblTickets[[#This Row],[Resolved Date]]-tblTickets[[#This Row],[Created Date]])*24</f>
        <v>45.999999999767169</v>
      </c>
      <c r="N147" t="str">
        <f>IF(tblTickets[[#This Row],[Customer Satisfaction]]&gt;=4,"Satisfied",IF(tblTickets[[#This Row],[Customer Satisfaction]]=3,"Neutral","Dissatisfied"))</f>
        <v>Dissatisfied</v>
      </c>
    </row>
    <row r="148" spans="1:14" x14ac:dyDescent="0.35">
      <c r="A148" t="s">
        <v>249</v>
      </c>
      <c r="B148" s="3">
        <v>45702</v>
      </c>
      <c r="C148" s="3">
        <v>45703.93</v>
      </c>
      <c r="D148" t="s">
        <v>34</v>
      </c>
      <c r="E148" t="s">
        <v>13</v>
      </c>
      <c r="F148" t="s">
        <v>25</v>
      </c>
      <c r="G148" t="s">
        <v>21</v>
      </c>
      <c r="H148">
        <v>8</v>
      </c>
      <c r="I148">
        <v>46.32</v>
      </c>
      <c r="J148">
        <v>7.79</v>
      </c>
      <c r="K148">
        <v>2</v>
      </c>
      <c r="L148" t="str">
        <f>IF(tblTickets[[#This Row],[SLA Target (hrs)]]&gt;=tblTickets[[#This Row],[Actual Resolution Time (hrs)]],"Yes","No")</f>
        <v>No</v>
      </c>
      <c r="M148">
        <f>(tblTickets[[#This Row],[Resolved Date]]-tblTickets[[#This Row],[Created Date]])*24</f>
        <v>46.320000000006985</v>
      </c>
      <c r="N148" t="str">
        <f>IF(tblTickets[[#This Row],[Customer Satisfaction]]&gt;=4,"Satisfied",IF(tblTickets[[#This Row],[Customer Satisfaction]]=3,"Neutral","Dissatisfied"))</f>
        <v>Dissatisfied</v>
      </c>
    </row>
    <row r="149" spans="1:14" x14ac:dyDescent="0.35">
      <c r="A149" t="s">
        <v>300</v>
      </c>
      <c r="B149" s="3">
        <v>45669</v>
      </c>
      <c r="C149" s="3">
        <v>45670.947500000002</v>
      </c>
      <c r="D149" t="s">
        <v>23</v>
      </c>
      <c r="E149" t="s">
        <v>19</v>
      </c>
      <c r="F149" t="s">
        <v>14</v>
      </c>
      <c r="G149" t="s">
        <v>21</v>
      </c>
      <c r="H149">
        <v>24</v>
      </c>
      <c r="I149">
        <v>46.74</v>
      </c>
      <c r="J149">
        <v>2.37</v>
      </c>
      <c r="K149">
        <v>2</v>
      </c>
      <c r="L149" t="str">
        <f>IF(tblTickets[[#This Row],[SLA Target (hrs)]]&gt;=tblTickets[[#This Row],[Actual Resolution Time (hrs)]],"Yes","No")</f>
        <v>No</v>
      </c>
      <c r="M149">
        <f>(tblTickets[[#This Row],[Resolved Date]]-tblTickets[[#This Row],[Created Date]])*24</f>
        <v>46.740000000048894</v>
      </c>
      <c r="N149" t="str">
        <f>IF(tblTickets[[#This Row],[Customer Satisfaction]]&gt;=4,"Satisfied",IF(tblTickets[[#This Row],[Customer Satisfaction]]=3,"Neutral","Dissatisfied"))</f>
        <v>Dissatisfied</v>
      </c>
    </row>
    <row r="150" spans="1:14" x14ac:dyDescent="0.35">
      <c r="A150" t="s">
        <v>287</v>
      </c>
      <c r="B150" s="3">
        <v>45702</v>
      </c>
      <c r="C150" s="3">
        <v>45703.959166666667</v>
      </c>
      <c r="D150" t="s">
        <v>34</v>
      </c>
      <c r="E150" t="s">
        <v>40</v>
      </c>
      <c r="F150" t="s">
        <v>25</v>
      </c>
      <c r="G150" t="s">
        <v>26</v>
      </c>
      <c r="H150">
        <v>24</v>
      </c>
      <c r="I150">
        <v>47.02</v>
      </c>
      <c r="J150">
        <v>1.0900000000000001</v>
      </c>
      <c r="K150">
        <v>2</v>
      </c>
      <c r="L150" t="str">
        <f>IF(tblTickets[[#This Row],[SLA Target (hrs)]]&gt;=tblTickets[[#This Row],[Actual Resolution Time (hrs)]],"Yes","No")</f>
        <v>No</v>
      </c>
      <c r="M150">
        <f>(tblTickets[[#This Row],[Resolved Date]]-tblTickets[[#This Row],[Created Date]])*24</f>
        <v>47.020000000018626</v>
      </c>
      <c r="N150" t="str">
        <f>IF(tblTickets[[#This Row],[Customer Satisfaction]]&gt;=4,"Satisfied",IF(tblTickets[[#This Row],[Customer Satisfaction]]=3,"Neutral","Dissatisfied"))</f>
        <v>Dissatisfied</v>
      </c>
    </row>
    <row r="151" spans="1:14" x14ac:dyDescent="0.35">
      <c r="A151" t="s">
        <v>342</v>
      </c>
      <c r="B151" s="3">
        <v>45710</v>
      </c>
      <c r="C151" s="3">
        <v>45711.982083333343</v>
      </c>
      <c r="D151" t="s">
        <v>30</v>
      </c>
      <c r="E151" t="s">
        <v>19</v>
      </c>
      <c r="F151" t="s">
        <v>41</v>
      </c>
      <c r="G151" t="s">
        <v>15</v>
      </c>
      <c r="H151">
        <v>24</v>
      </c>
      <c r="I151">
        <v>47.57</v>
      </c>
      <c r="J151">
        <v>3.2</v>
      </c>
      <c r="K151">
        <v>2</v>
      </c>
      <c r="L151" t="str">
        <f>IF(tblTickets[[#This Row],[SLA Target (hrs)]]&gt;=tblTickets[[#This Row],[Actual Resolution Time (hrs)]],"Yes","No")</f>
        <v>No</v>
      </c>
      <c r="M151">
        <f>(tblTickets[[#This Row],[Resolved Date]]-tblTickets[[#This Row],[Created Date]])*24</f>
        <v>47.570000000239816</v>
      </c>
      <c r="N151" t="str">
        <f>IF(tblTickets[[#This Row],[Customer Satisfaction]]&gt;=4,"Satisfied",IF(tblTickets[[#This Row],[Customer Satisfaction]]=3,"Neutral","Dissatisfied"))</f>
        <v>Dissatisfied</v>
      </c>
    </row>
    <row r="152" spans="1:14" x14ac:dyDescent="0.35">
      <c r="A152" t="s">
        <v>502</v>
      </c>
      <c r="B152" s="3">
        <v>45730</v>
      </c>
      <c r="C152" s="3">
        <v>45731.984583333331</v>
      </c>
      <c r="D152" t="s">
        <v>34</v>
      </c>
      <c r="E152" t="s">
        <v>13</v>
      </c>
      <c r="F152" t="s">
        <v>45</v>
      </c>
      <c r="G152" t="s">
        <v>15</v>
      </c>
      <c r="H152">
        <v>8</v>
      </c>
      <c r="I152">
        <v>47.63</v>
      </c>
      <c r="J152">
        <v>1.65</v>
      </c>
      <c r="K152">
        <v>2</v>
      </c>
      <c r="L152" t="str">
        <f>IF(tblTickets[[#This Row],[SLA Target (hrs)]]&gt;=tblTickets[[#This Row],[Actual Resolution Time (hrs)]],"Yes","No")</f>
        <v>No</v>
      </c>
      <c r="M152">
        <f>(tblTickets[[#This Row],[Resolved Date]]-tblTickets[[#This Row],[Created Date]])*24</f>
        <v>47.629999999946449</v>
      </c>
      <c r="N152" t="str">
        <f>IF(tblTickets[[#This Row],[Customer Satisfaction]]&gt;=4,"Satisfied",IF(tblTickets[[#This Row],[Customer Satisfaction]]=3,"Neutral","Dissatisfied"))</f>
        <v>Dissatisfied</v>
      </c>
    </row>
    <row r="153" spans="1:14" x14ac:dyDescent="0.35">
      <c r="A153" t="s">
        <v>129</v>
      </c>
      <c r="B153" s="3">
        <v>45689</v>
      </c>
      <c r="C153" s="3">
        <v>45689.195416666669</v>
      </c>
      <c r="D153" t="s">
        <v>12</v>
      </c>
      <c r="E153" t="s">
        <v>13</v>
      </c>
      <c r="F153" t="s">
        <v>14</v>
      </c>
      <c r="G153" t="s">
        <v>15</v>
      </c>
      <c r="H153">
        <v>4</v>
      </c>
      <c r="I153">
        <v>4.6900000000000004</v>
      </c>
      <c r="J153">
        <v>5.38</v>
      </c>
      <c r="K153">
        <v>2</v>
      </c>
      <c r="L153" t="str">
        <f>IF(tblTickets[[#This Row],[SLA Target (hrs)]]&gt;=tblTickets[[#This Row],[Actual Resolution Time (hrs)]],"Yes","No")</f>
        <v>No</v>
      </c>
      <c r="M153">
        <f>(tblTickets[[#This Row],[Resolved Date]]-tblTickets[[#This Row],[Created Date]])*24</f>
        <v>4.690000000060536</v>
      </c>
      <c r="N153" t="str">
        <f>IF(tblTickets[[#This Row],[Customer Satisfaction]]&gt;=4,"Satisfied",IF(tblTickets[[#This Row],[Customer Satisfaction]]=3,"Neutral","Dissatisfied"))</f>
        <v>Dissatisfied</v>
      </c>
    </row>
    <row r="154" spans="1:14" x14ac:dyDescent="0.35">
      <c r="A154" t="s">
        <v>77</v>
      </c>
      <c r="B154" s="3">
        <v>45711</v>
      </c>
      <c r="C154" s="3">
        <v>45711.199999999997</v>
      </c>
      <c r="D154" t="s">
        <v>23</v>
      </c>
      <c r="E154" t="s">
        <v>17</v>
      </c>
      <c r="F154" t="s">
        <v>25</v>
      </c>
      <c r="G154" t="s">
        <v>15</v>
      </c>
      <c r="H154">
        <v>4</v>
      </c>
      <c r="I154">
        <v>4.8</v>
      </c>
      <c r="J154">
        <v>4.38</v>
      </c>
      <c r="K154">
        <v>2</v>
      </c>
      <c r="L154" t="str">
        <f>IF(tblTickets[[#This Row],[SLA Target (hrs)]]&gt;=tblTickets[[#This Row],[Actual Resolution Time (hrs)]],"Yes","No")</f>
        <v>No</v>
      </c>
      <c r="M154">
        <f>(tblTickets[[#This Row],[Resolved Date]]-tblTickets[[#This Row],[Created Date]])*24</f>
        <v>4.7999999999301508</v>
      </c>
      <c r="N154" t="str">
        <f>IF(tblTickets[[#This Row],[Customer Satisfaction]]&gt;=4,"Satisfied",IF(tblTickets[[#This Row],[Customer Satisfaction]]=3,"Neutral","Dissatisfied"))</f>
        <v>Dissatisfied</v>
      </c>
    </row>
    <row r="155" spans="1:14" x14ac:dyDescent="0.35">
      <c r="A155" t="s">
        <v>337</v>
      </c>
      <c r="B155" s="3">
        <v>45663</v>
      </c>
      <c r="C155" s="3">
        <v>45663.214583333327</v>
      </c>
      <c r="D155" t="s">
        <v>30</v>
      </c>
      <c r="E155" t="s">
        <v>13</v>
      </c>
      <c r="F155" t="s">
        <v>45</v>
      </c>
      <c r="G155" t="s">
        <v>15</v>
      </c>
      <c r="H155">
        <v>4</v>
      </c>
      <c r="I155">
        <v>5.15</v>
      </c>
      <c r="J155">
        <v>2.29</v>
      </c>
      <c r="K155">
        <v>2</v>
      </c>
      <c r="L155" t="str">
        <f>IF(tblTickets[[#This Row],[SLA Target (hrs)]]&gt;=tblTickets[[#This Row],[Actual Resolution Time (hrs)]],"Yes","No")</f>
        <v>No</v>
      </c>
      <c r="M155">
        <f>(tblTickets[[#This Row],[Resolved Date]]-tblTickets[[#This Row],[Created Date]])*24</f>
        <v>5.1499999998486601</v>
      </c>
      <c r="N155" t="str">
        <f>IF(tblTickets[[#This Row],[Customer Satisfaction]]&gt;=4,"Satisfied",IF(tblTickets[[#This Row],[Customer Satisfaction]]=3,"Neutral","Dissatisfied"))</f>
        <v>Dissatisfied</v>
      </c>
    </row>
    <row r="156" spans="1:14" x14ac:dyDescent="0.35">
      <c r="A156" t="s">
        <v>347</v>
      </c>
      <c r="B156" s="3">
        <v>45684</v>
      </c>
      <c r="C156" s="3">
        <v>45684.277499999997</v>
      </c>
      <c r="D156" t="s">
        <v>12</v>
      </c>
      <c r="E156" t="s">
        <v>13</v>
      </c>
      <c r="F156" t="s">
        <v>20</v>
      </c>
      <c r="G156" t="s">
        <v>15</v>
      </c>
      <c r="H156">
        <v>4</v>
      </c>
      <c r="I156">
        <v>6.66</v>
      </c>
      <c r="J156">
        <v>4.09</v>
      </c>
      <c r="K156">
        <v>2</v>
      </c>
      <c r="L156" t="str">
        <f>IF(tblTickets[[#This Row],[SLA Target (hrs)]]&gt;=tblTickets[[#This Row],[Actual Resolution Time (hrs)]],"Yes","No")</f>
        <v>No</v>
      </c>
      <c r="M156">
        <f>(tblTickets[[#This Row],[Resolved Date]]-tblTickets[[#This Row],[Created Date]])*24</f>
        <v>6.659999999916181</v>
      </c>
      <c r="N156" t="str">
        <f>IF(tblTickets[[#This Row],[Customer Satisfaction]]&gt;=4,"Satisfied",IF(tblTickets[[#This Row],[Customer Satisfaction]]=3,"Neutral","Dissatisfied"))</f>
        <v>Dissatisfied</v>
      </c>
    </row>
    <row r="157" spans="1:14" x14ac:dyDescent="0.35">
      <c r="A157" t="s">
        <v>445</v>
      </c>
      <c r="B157" s="3">
        <v>45737</v>
      </c>
      <c r="C157" s="3">
        <v>45737.312916666669</v>
      </c>
      <c r="D157" t="s">
        <v>34</v>
      </c>
      <c r="E157" t="s">
        <v>17</v>
      </c>
      <c r="F157" t="s">
        <v>45</v>
      </c>
      <c r="G157" t="s">
        <v>26</v>
      </c>
      <c r="H157">
        <v>4</v>
      </c>
      <c r="I157">
        <v>7.51</v>
      </c>
      <c r="J157">
        <v>2.02</v>
      </c>
      <c r="K157">
        <v>2</v>
      </c>
      <c r="L157" t="str">
        <f>IF(tblTickets[[#This Row],[SLA Target (hrs)]]&gt;=tblTickets[[#This Row],[Actual Resolution Time (hrs)]],"Yes","No")</f>
        <v>No</v>
      </c>
      <c r="M157">
        <f>(tblTickets[[#This Row],[Resolved Date]]-tblTickets[[#This Row],[Created Date]])*24</f>
        <v>7.5100000000675209</v>
      </c>
      <c r="N157" t="str">
        <f>IF(tblTickets[[#This Row],[Customer Satisfaction]]&gt;=4,"Satisfied",IF(tblTickets[[#This Row],[Customer Satisfaction]]=3,"Neutral","Dissatisfied"))</f>
        <v>Dissatisfied</v>
      </c>
    </row>
    <row r="158" spans="1:14" x14ac:dyDescent="0.35">
      <c r="A158" t="s">
        <v>303</v>
      </c>
      <c r="B158" s="3">
        <v>45678</v>
      </c>
      <c r="C158" s="3">
        <v>45678.428749999999</v>
      </c>
      <c r="D158" t="s">
        <v>12</v>
      </c>
      <c r="E158" t="s">
        <v>17</v>
      </c>
      <c r="F158" t="s">
        <v>41</v>
      </c>
      <c r="G158" t="s">
        <v>15</v>
      </c>
      <c r="H158">
        <v>8</v>
      </c>
      <c r="I158">
        <v>10.29</v>
      </c>
      <c r="J158">
        <v>5.55</v>
      </c>
      <c r="K158">
        <v>2</v>
      </c>
      <c r="L158" t="str">
        <f>IF(tblTickets[[#This Row],[SLA Target (hrs)]]&gt;=tblTickets[[#This Row],[Actual Resolution Time (hrs)]],"Yes","No")</f>
        <v>No</v>
      </c>
      <c r="M158">
        <f>(tblTickets[[#This Row],[Resolved Date]]-tblTickets[[#This Row],[Created Date]])*24</f>
        <v>10.289999999979045</v>
      </c>
      <c r="N158" t="str">
        <f>IF(tblTickets[[#This Row],[Customer Satisfaction]]&gt;=4,"Satisfied",IF(tblTickets[[#This Row],[Customer Satisfaction]]=3,"Neutral","Dissatisfied"))</f>
        <v>Dissatisfied</v>
      </c>
    </row>
    <row r="159" spans="1:14" x14ac:dyDescent="0.35">
      <c r="A159" t="s">
        <v>320</v>
      </c>
      <c r="B159" s="3">
        <v>45698</v>
      </c>
      <c r="C159" s="3">
        <v>45698.474583333344</v>
      </c>
      <c r="D159" t="s">
        <v>34</v>
      </c>
      <c r="E159" t="s">
        <v>13</v>
      </c>
      <c r="F159" t="s">
        <v>14</v>
      </c>
      <c r="G159" t="s">
        <v>26</v>
      </c>
      <c r="H159">
        <v>4</v>
      </c>
      <c r="I159">
        <v>11.39</v>
      </c>
      <c r="J159">
        <v>5.97</v>
      </c>
      <c r="K159">
        <v>2</v>
      </c>
      <c r="L159" t="str">
        <f>IF(tblTickets[[#This Row],[SLA Target (hrs)]]&gt;=tblTickets[[#This Row],[Actual Resolution Time (hrs)]],"Yes","No")</f>
        <v>No</v>
      </c>
      <c r="M159">
        <f>(tblTickets[[#This Row],[Resolved Date]]-tblTickets[[#This Row],[Created Date]])*24</f>
        <v>11.3900000002468</v>
      </c>
      <c r="N159" t="str">
        <f>IF(tblTickets[[#This Row],[Customer Satisfaction]]&gt;=4,"Satisfied",IF(tblTickets[[#This Row],[Customer Satisfaction]]=3,"Neutral","Dissatisfied"))</f>
        <v>Dissatisfied</v>
      </c>
    </row>
    <row r="160" spans="1:14" x14ac:dyDescent="0.35">
      <c r="A160" t="s">
        <v>137</v>
      </c>
      <c r="B160" s="3">
        <v>45705</v>
      </c>
      <c r="C160" s="3">
        <v>45705.503333333327</v>
      </c>
      <c r="D160" t="s">
        <v>12</v>
      </c>
      <c r="E160" t="s">
        <v>19</v>
      </c>
      <c r="F160" t="s">
        <v>20</v>
      </c>
      <c r="G160" t="s">
        <v>21</v>
      </c>
      <c r="H160">
        <v>8</v>
      </c>
      <c r="I160">
        <v>12.08</v>
      </c>
      <c r="J160">
        <v>1.91</v>
      </c>
      <c r="K160">
        <v>2</v>
      </c>
      <c r="L160" t="str">
        <f>IF(tblTickets[[#This Row],[SLA Target (hrs)]]&gt;=tblTickets[[#This Row],[Actual Resolution Time (hrs)]],"Yes","No")</f>
        <v>No</v>
      </c>
      <c r="M160">
        <f>(tblTickets[[#This Row],[Resolved Date]]-tblTickets[[#This Row],[Created Date]])*24</f>
        <v>12.079999999841675</v>
      </c>
      <c r="N160" t="str">
        <f>IF(tblTickets[[#This Row],[Customer Satisfaction]]&gt;=4,"Satisfied",IF(tblTickets[[#This Row],[Customer Satisfaction]]=3,"Neutral","Dissatisfied"))</f>
        <v>Dissatisfied</v>
      </c>
    </row>
    <row r="161" spans="1:14" x14ac:dyDescent="0.35">
      <c r="A161" t="s">
        <v>343</v>
      </c>
      <c r="B161" s="3">
        <v>45665</v>
      </c>
      <c r="C161" s="3">
        <v>45665.514999999999</v>
      </c>
      <c r="D161" t="s">
        <v>34</v>
      </c>
      <c r="E161" t="s">
        <v>17</v>
      </c>
      <c r="F161" t="s">
        <v>14</v>
      </c>
      <c r="G161" t="s">
        <v>15</v>
      </c>
      <c r="H161">
        <v>8</v>
      </c>
      <c r="I161">
        <v>12.36</v>
      </c>
      <c r="J161">
        <v>3.03</v>
      </c>
      <c r="K161">
        <v>2</v>
      </c>
      <c r="L161" t="str">
        <f>IF(tblTickets[[#This Row],[SLA Target (hrs)]]&gt;=tblTickets[[#This Row],[Actual Resolution Time (hrs)]],"Yes","No")</f>
        <v>No</v>
      </c>
      <c r="M161">
        <f>(tblTickets[[#This Row],[Resolved Date]]-tblTickets[[#This Row],[Created Date]])*24</f>
        <v>12.35999999998603</v>
      </c>
      <c r="N161" t="str">
        <f>IF(tblTickets[[#This Row],[Customer Satisfaction]]&gt;=4,"Satisfied",IF(tblTickets[[#This Row],[Customer Satisfaction]]=3,"Neutral","Dissatisfied"))</f>
        <v>Dissatisfied</v>
      </c>
    </row>
    <row r="162" spans="1:14" x14ac:dyDescent="0.35">
      <c r="A162" t="s">
        <v>498</v>
      </c>
      <c r="B162" s="3">
        <v>45666</v>
      </c>
      <c r="C162" s="3">
        <v>45666.592083333337</v>
      </c>
      <c r="D162" t="s">
        <v>23</v>
      </c>
      <c r="E162" t="s">
        <v>17</v>
      </c>
      <c r="F162" t="s">
        <v>45</v>
      </c>
      <c r="G162" t="s">
        <v>26</v>
      </c>
      <c r="H162">
        <v>4</v>
      </c>
      <c r="I162">
        <v>14.21</v>
      </c>
      <c r="J162">
        <v>6.45</v>
      </c>
      <c r="K162">
        <v>2</v>
      </c>
      <c r="L162" t="str">
        <f>IF(tblTickets[[#This Row],[SLA Target (hrs)]]&gt;=tblTickets[[#This Row],[Actual Resolution Time (hrs)]],"Yes","No")</f>
        <v>No</v>
      </c>
      <c r="M162">
        <f>(tblTickets[[#This Row],[Resolved Date]]-tblTickets[[#This Row],[Created Date]])*24</f>
        <v>14.210000000079162</v>
      </c>
      <c r="N162" t="str">
        <f>IF(tblTickets[[#This Row],[Customer Satisfaction]]&gt;=4,"Satisfied",IF(tblTickets[[#This Row],[Customer Satisfaction]]=3,"Neutral","Dissatisfied"))</f>
        <v>Dissatisfied</v>
      </c>
    </row>
    <row r="163" spans="1:14" x14ac:dyDescent="0.35">
      <c r="A163" t="s">
        <v>219</v>
      </c>
      <c r="B163" s="3">
        <v>45743</v>
      </c>
      <c r="C163" s="3">
        <v>45743.628333333327</v>
      </c>
      <c r="D163" t="s">
        <v>30</v>
      </c>
      <c r="E163" t="s">
        <v>13</v>
      </c>
      <c r="F163" t="s">
        <v>45</v>
      </c>
      <c r="G163" t="s">
        <v>15</v>
      </c>
      <c r="H163">
        <v>8</v>
      </c>
      <c r="I163">
        <v>15.08</v>
      </c>
      <c r="J163">
        <v>7.48</v>
      </c>
      <c r="K163">
        <v>2</v>
      </c>
      <c r="L163" t="str">
        <f>IF(tblTickets[[#This Row],[SLA Target (hrs)]]&gt;=tblTickets[[#This Row],[Actual Resolution Time (hrs)]],"Yes","No")</f>
        <v>No</v>
      </c>
      <c r="M163">
        <f>(tblTickets[[#This Row],[Resolved Date]]-tblTickets[[#This Row],[Created Date]])*24</f>
        <v>15.079999999841675</v>
      </c>
      <c r="N163" t="str">
        <f>IF(tblTickets[[#This Row],[Customer Satisfaction]]&gt;=4,"Satisfied",IF(tblTickets[[#This Row],[Customer Satisfaction]]=3,"Neutral","Dissatisfied"))</f>
        <v>Dissatisfied</v>
      </c>
    </row>
    <row r="164" spans="1:14" x14ac:dyDescent="0.35">
      <c r="A164" t="s">
        <v>97</v>
      </c>
      <c r="B164" s="3">
        <v>45695</v>
      </c>
      <c r="C164" s="3">
        <v>45695.675000000003</v>
      </c>
      <c r="D164" t="s">
        <v>30</v>
      </c>
      <c r="E164" t="s">
        <v>19</v>
      </c>
      <c r="F164" t="s">
        <v>25</v>
      </c>
      <c r="G164" t="s">
        <v>15</v>
      </c>
      <c r="H164">
        <v>8</v>
      </c>
      <c r="I164">
        <v>16.2</v>
      </c>
      <c r="J164">
        <v>1.25</v>
      </c>
      <c r="K164">
        <v>2</v>
      </c>
      <c r="L164" t="str">
        <f>IF(tblTickets[[#This Row],[SLA Target (hrs)]]&gt;=tblTickets[[#This Row],[Actual Resolution Time (hrs)]],"Yes","No")</f>
        <v>No</v>
      </c>
      <c r="M164">
        <f>(tblTickets[[#This Row],[Resolved Date]]-tblTickets[[#This Row],[Created Date]])*24</f>
        <v>16.200000000069849</v>
      </c>
      <c r="N164" t="str">
        <f>IF(tblTickets[[#This Row],[Customer Satisfaction]]&gt;=4,"Satisfied",IF(tblTickets[[#This Row],[Customer Satisfaction]]=3,"Neutral","Dissatisfied"))</f>
        <v>Dissatisfied</v>
      </c>
    </row>
    <row r="165" spans="1:14" x14ac:dyDescent="0.35">
      <c r="A165" t="s">
        <v>509</v>
      </c>
      <c r="B165" s="3">
        <v>45731</v>
      </c>
      <c r="C165" s="3">
        <v>45731.679583333331</v>
      </c>
      <c r="D165" t="s">
        <v>30</v>
      </c>
      <c r="E165" t="s">
        <v>13</v>
      </c>
      <c r="F165" t="s">
        <v>20</v>
      </c>
      <c r="G165" t="s">
        <v>21</v>
      </c>
      <c r="H165">
        <v>8</v>
      </c>
      <c r="I165">
        <v>16.309999999999999</v>
      </c>
      <c r="J165">
        <v>5.07</v>
      </c>
      <c r="K165">
        <v>2</v>
      </c>
      <c r="L165" t="str">
        <f>IF(tblTickets[[#This Row],[SLA Target (hrs)]]&gt;=tblTickets[[#This Row],[Actual Resolution Time (hrs)]],"Yes","No")</f>
        <v>No</v>
      </c>
      <c r="M165">
        <f>(tblTickets[[#This Row],[Resolved Date]]-tblTickets[[#This Row],[Created Date]])*24</f>
        <v>16.309999999939464</v>
      </c>
      <c r="N165" t="str">
        <f>IF(tblTickets[[#This Row],[Customer Satisfaction]]&gt;=4,"Satisfied",IF(tblTickets[[#This Row],[Customer Satisfaction]]=3,"Neutral","Dissatisfied"))</f>
        <v>Dissatisfied</v>
      </c>
    </row>
    <row r="166" spans="1:14" x14ac:dyDescent="0.35">
      <c r="A166" t="s">
        <v>86</v>
      </c>
      <c r="B166" s="3">
        <v>45712</v>
      </c>
      <c r="C166" s="3">
        <v>45712.708333333343</v>
      </c>
      <c r="D166" t="s">
        <v>12</v>
      </c>
      <c r="E166" t="s">
        <v>40</v>
      </c>
      <c r="F166" t="s">
        <v>14</v>
      </c>
      <c r="G166" t="s">
        <v>15</v>
      </c>
      <c r="H166">
        <v>4</v>
      </c>
      <c r="I166">
        <v>17</v>
      </c>
      <c r="J166">
        <v>7.54</v>
      </c>
      <c r="K166">
        <v>2</v>
      </c>
      <c r="L166" t="str">
        <f>IF(tblTickets[[#This Row],[SLA Target (hrs)]]&gt;=tblTickets[[#This Row],[Actual Resolution Time (hrs)]],"Yes","No")</f>
        <v>No</v>
      </c>
      <c r="M166">
        <f>(tblTickets[[#This Row],[Resolved Date]]-tblTickets[[#This Row],[Created Date]])*24</f>
        <v>17.000000000232831</v>
      </c>
      <c r="N166" t="str">
        <f>IF(tblTickets[[#This Row],[Customer Satisfaction]]&gt;=4,"Satisfied",IF(tblTickets[[#This Row],[Customer Satisfaction]]=3,"Neutral","Dissatisfied"))</f>
        <v>Dissatisfied</v>
      </c>
    </row>
    <row r="167" spans="1:14" x14ac:dyDescent="0.35">
      <c r="A167" t="s">
        <v>201</v>
      </c>
      <c r="B167" s="3">
        <v>45689</v>
      </c>
      <c r="C167" s="3">
        <v>45689.729166666657</v>
      </c>
      <c r="D167" t="s">
        <v>12</v>
      </c>
      <c r="E167" t="s">
        <v>17</v>
      </c>
      <c r="F167" t="s">
        <v>14</v>
      </c>
      <c r="G167" t="s">
        <v>15</v>
      </c>
      <c r="H167">
        <v>4</v>
      </c>
      <c r="I167">
        <v>17.5</v>
      </c>
      <c r="J167">
        <v>3.73</v>
      </c>
      <c r="K167">
        <v>2</v>
      </c>
      <c r="L167" t="str">
        <f>IF(tblTickets[[#This Row],[SLA Target (hrs)]]&gt;=tblTickets[[#This Row],[Actual Resolution Time (hrs)]],"Yes","No")</f>
        <v>No</v>
      </c>
      <c r="M167">
        <f>(tblTickets[[#This Row],[Resolved Date]]-tblTickets[[#This Row],[Created Date]])*24</f>
        <v>17.499999999767169</v>
      </c>
      <c r="N167" t="str">
        <f>IF(tblTickets[[#This Row],[Customer Satisfaction]]&gt;=4,"Satisfied",IF(tblTickets[[#This Row],[Customer Satisfaction]]=3,"Neutral","Dissatisfied"))</f>
        <v>Dissatisfied</v>
      </c>
    </row>
    <row r="168" spans="1:14" x14ac:dyDescent="0.35">
      <c r="A168" t="s">
        <v>263</v>
      </c>
      <c r="B168" s="3">
        <v>45685</v>
      </c>
      <c r="C168" s="3">
        <v>45685.729166666657</v>
      </c>
      <c r="D168" t="s">
        <v>23</v>
      </c>
      <c r="E168" t="s">
        <v>19</v>
      </c>
      <c r="F168" t="s">
        <v>25</v>
      </c>
      <c r="G168" t="s">
        <v>21</v>
      </c>
      <c r="H168">
        <v>4</v>
      </c>
      <c r="I168">
        <v>17.5</v>
      </c>
      <c r="J168">
        <v>4.96</v>
      </c>
      <c r="K168">
        <v>2</v>
      </c>
      <c r="L168" t="str">
        <f>IF(tblTickets[[#This Row],[SLA Target (hrs)]]&gt;=tblTickets[[#This Row],[Actual Resolution Time (hrs)]],"Yes","No")</f>
        <v>No</v>
      </c>
      <c r="M168">
        <f>(tblTickets[[#This Row],[Resolved Date]]-tblTickets[[#This Row],[Created Date]])*24</f>
        <v>17.499999999767169</v>
      </c>
      <c r="N168" t="str">
        <f>IF(tblTickets[[#This Row],[Customer Satisfaction]]&gt;=4,"Satisfied",IF(tblTickets[[#This Row],[Customer Satisfaction]]=3,"Neutral","Dissatisfied"))</f>
        <v>Dissatisfied</v>
      </c>
    </row>
    <row r="169" spans="1:14" x14ac:dyDescent="0.35">
      <c r="A169" t="s">
        <v>411</v>
      </c>
      <c r="B169" s="3">
        <v>45726</v>
      </c>
      <c r="C169" s="3">
        <v>45726.737500000003</v>
      </c>
      <c r="D169" t="s">
        <v>12</v>
      </c>
      <c r="E169" t="s">
        <v>19</v>
      </c>
      <c r="F169" t="s">
        <v>41</v>
      </c>
      <c r="G169" t="s">
        <v>21</v>
      </c>
      <c r="H169">
        <v>8</v>
      </c>
      <c r="I169">
        <v>17.7</v>
      </c>
      <c r="J169">
        <v>6.6</v>
      </c>
      <c r="K169">
        <v>2</v>
      </c>
      <c r="L169" t="str">
        <f>IF(tblTickets[[#This Row],[SLA Target (hrs)]]&gt;=tblTickets[[#This Row],[Actual Resolution Time (hrs)]],"Yes","No")</f>
        <v>No</v>
      </c>
      <c r="M169">
        <f>(tblTickets[[#This Row],[Resolved Date]]-tblTickets[[#This Row],[Created Date]])*24</f>
        <v>17.700000000069849</v>
      </c>
      <c r="N169" t="str">
        <f>IF(tblTickets[[#This Row],[Customer Satisfaction]]&gt;=4,"Satisfied",IF(tblTickets[[#This Row],[Customer Satisfaction]]=3,"Neutral","Dissatisfied"))</f>
        <v>Dissatisfied</v>
      </c>
    </row>
    <row r="170" spans="1:14" x14ac:dyDescent="0.35">
      <c r="A170" t="s">
        <v>205</v>
      </c>
      <c r="B170" s="3">
        <v>45660</v>
      </c>
      <c r="C170" s="3">
        <v>45660.822916666657</v>
      </c>
      <c r="D170" t="s">
        <v>12</v>
      </c>
      <c r="E170" t="s">
        <v>40</v>
      </c>
      <c r="F170" t="s">
        <v>20</v>
      </c>
      <c r="G170" t="s">
        <v>26</v>
      </c>
      <c r="H170">
        <v>4</v>
      </c>
      <c r="I170">
        <v>19.75</v>
      </c>
      <c r="J170">
        <v>3.97</v>
      </c>
      <c r="K170">
        <v>2</v>
      </c>
      <c r="L170" t="str">
        <f>IF(tblTickets[[#This Row],[SLA Target (hrs)]]&gt;=tblTickets[[#This Row],[Actual Resolution Time (hrs)]],"Yes","No")</f>
        <v>No</v>
      </c>
      <c r="M170">
        <f>(tblTickets[[#This Row],[Resolved Date]]-tblTickets[[#This Row],[Created Date]])*24</f>
        <v>19.749999999767169</v>
      </c>
      <c r="N170" t="str">
        <f>IF(tblTickets[[#This Row],[Customer Satisfaction]]&gt;=4,"Satisfied",IF(tblTickets[[#This Row],[Customer Satisfaction]]=3,"Neutral","Dissatisfied"))</f>
        <v>Dissatisfied</v>
      </c>
    </row>
    <row r="171" spans="1:14" x14ac:dyDescent="0.35">
      <c r="A171" t="s">
        <v>311</v>
      </c>
      <c r="B171" s="3">
        <v>45695</v>
      </c>
      <c r="C171" s="3">
        <v>45695.833749999998</v>
      </c>
      <c r="D171" t="s">
        <v>12</v>
      </c>
      <c r="E171" t="s">
        <v>13</v>
      </c>
      <c r="F171" t="s">
        <v>14</v>
      </c>
      <c r="G171" t="s">
        <v>21</v>
      </c>
      <c r="H171">
        <v>8</v>
      </c>
      <c r="I171">
        <v>20.010000000000002</v>
      </c>
      <c r="J171">
        <v>5.84</v>
      </c>
      <c r="K171">
        <v>2</v>
      </c>
      <c r="L171" t="str">
        <f>IF(tblTickets[[#This Row],[SLA Target (hrs)]]&gt;=tblTickets[[#This Row],[Actual Resolution Time (hrs)]],"Yes","No")</f>
        <v>No</v>
      </c>
      <c r="M171">
        <f>(tblTickets[[#This Row],[Resolved Date]]-tblTickets[[#This Row],[Created Date]])*24</f>
        <v>20.009999999951106</v>
      </c>
      <c r="N171" t="str">
        <f>IF(tblTickets[[#This Row],[Customer Satisfaction]]&gt;=4,"Satisfied",IF(tblTickets[[#This Row],[Customer Satisfaction]]=3,"Neutral","Dissatisfied"))</f>
        <v>Dissatisfied</v>
      </c>
    </row>
    <row r="172" spans="1:14" x14ac:dyDescent="0.35">
      <c r="A172" t="s">
        <v>65</v>
      </c>
      <c r="B172" s="3">
        <v>45675</v>
      </c>
      <c r="C172" s="3">
        <v>45675.835416666669</v>
      </c>
      <c r="D172" t="s">
        <v>23</v>
      </c>
      <c r="E172" t="s">
        <v>13</v>
      </c>
      <c r="F172" t="s">
        <v>14</v>
      </c>
      <c r="G172" t="s">
        <v>15</v>
      </c>
      <c r="H172">
        <v>4</v>
      </c>
      <c r="I172">
        <v>20.05</v>
      </c>
      <c r="J172">
        <v>4.1100000000000003</v>
      </c>
      <c r="K172">
        <v>2</v>
      </c>
      <c r="L172" t="str">
        <f>IF(tblTickets[[#This Row],[SLA Target (hrs)]]&gt;=tblTickets[[#This Row],[Actual Resolution Time (hrs)]],"Yes","No")</f>
        <v>No</v>
      </c>
      <c r="M172">
        <f>(tblTickets[[#This Row],[Resolved Date]]-tblTickets[[#This Row],[Created Date]])*24</f>
        <v>20.050000000046566</v>
      </c>
      <c r="N172" t="str">
        <f>IF(tblTickets[[#This Row],[Customer Satisfaction]]&gt;=4,"Satisfied",IF(tblTickets[[#This Row],[Customer Satisfaction]]=3,"Neutral","Dissatisfied"))</f>
        <v>Dissatisfied</v>
      </c>
    </row>
    <row r="173" spans="1:14" x14ac:dyDescent="0.35">
      <c r="A173" t="s">
        <v>375</v>
      </c>
      <c r="B173" s="3">
        <v>45691</v>
      </c>
      <c r="C173" s="3">
        <v>45691.857916666668</v>
      </c>
      <c r="D173" t="s">
        <v>12</v>
      </c>
      <c r="E173" t="s">
        <v>19</v>
      </c>
      <c r="F173" t="s">
        <v>41</v>
      </c>
      <c r="G173" t="s">
        <v>26</v>
      </c>
      <c r="H173">
        <v>8</v>
      </c>
      <c r="I173">
        <v>20.59</v>
      </c>
      <c r="J173">
        <v>0.98</v>
      </c>
      <c r="K173">
        <v>2</v>
      </c>
      <c r="L173" t="str">
        <f>IF(tblTickets[[#This Row],[SLA Target (hrs)]]&gt;=tblTickets[[#This Row],[Actual Resolution Time (hrs)]],"Yes","No")</f>
        <v>No</v>
      </c>
      <c r="M173">
        <f>(tblTickets[[#This Row],[Resolved Date]]-tblTickets[[#This Row],[Created Date]])*24</f>
        <v>20.590000000025611</v>
      </c>
      <c r="N173" t="str">
        <f>IF(tblTickets[[#This Row],[Customer Satisfaction]]&gt;=4,"Satisfied",IF(tblTickets[[#This Row],[Customer Satisfaction]]=3,"Neutral","Dissatisfied"))</f>
        <v>Dissatisfied</v>
      </c>
    </row>
    <row r="174" spans="1:14" x14ac:dyDescent="0.35">
      <c r="A174" t="s">
        <v>119</v>
      </c>
      <c r="B174" s="3">
        <v>45717</v>
      </c>
      <c r="C174" s="3">
        <v>45717.893750000003</v>
      </c>
      <c r="D174" t="s">
        <v>30</v>
      </c>
      <c r="E174" t="s">
        <v>19</v>
      </c>
      <c r="F174" t="s">
        <v>20</v>
      </c>
      <c r="G174" t="s">
        <v>21</v>
      </c>
      <c r="H174">
        <v>8</v>
      </c>
      <c r="I174">
        <v>21.45</v>
      </c>
      <c r="J174">
        <v>5.7</v>
      </c>
      <c r="K174">
        <v>2</v>
      </c>
      <c r="L174" t="str">
        <f>IF(tblTickets[[#This Row],[SLA Target (hrs)]]&gt;=tblTickets[[#This Row],[Actual Resolution Time (hrs)]],"Yes","No")</f>
        <v>No</v>
      </c>
      <c r="M174">
        <f>(tblTickets[[#This Row],[Resolved Date]]-tblTickets[[#This Row],[Created Date]])*24</f>
        <v>21.450000000069849</v>
      </c>
      <c r="N174" t="str">
        <f>IF(tblTickets[[#This Row],[Customer Satisfaction]]&gt;=4,"Satisfied",IF(tblTickets[[#This Row],[Customer Satisfaction]]=3,"Neutral","Dissatisfied"))</f>
        <v>Dissatisfied</v>
      </c>
    </row>
    <row r="175" spans="1:14" x14ac:dyDescent="0.35">
      <c r="A175" t="s">
        <v>410</v>
      </c>
      <c r="B175" s="3">
        <v>45687</v>
      </c>
      <c r="C175" s="3">
        <v>45687.903749999998</v>
      </c>
      <c r="D175" t="s">
        <v>34</v>
      </c>
      <c r="E175" t="s">
        <v>17</v>
      </c>
      <c r="F175" t="s">
        <v>45</v>
      </c>
      <c r="G175" t="s">
        <v>15</v>
      </c>
      <c r="H175">
        <v>8</v>
      </c>
      <c r="I175">
        <v>21.69</v>
      </c>
      <c r="J175">
        <v>2.4500000000000002</v>
      </c>
      <c r="K175">
        <v>2</v>
      </c>
      <c r="L175" t="str">
        <f>IF(tblTickets[[#This Row],[SLA Target (hrs)]]&gt;=tblTickets[[#This Row],[Actual Resolution Time (hrs)]],"Yes","No")</f>
        <v>No</v>
      </c>
      <c r="M175">
        <f>(tblTickets[[#This Row],[Resolved Date]]-tblTickets[[#This Row],[Created Date]])*24</f>
        <v>21.689999999944121</v>
      </c>
      <c r="N175" t="str">
        <f>IF(tblTickets[[#This Row],[Customer Satisfaction]]&gt;=4,"Satisfied",IF(tblTickets[[#This Row],[Customer Satisfaction]]=3,"Neutral","Dissatisfied"))</f>
        <v>Dissatisfied</v>
      </c>
    </row>
    <row r="176" spans="1:14" x14ac:dyDescent="0.35">
      <c r="A176" t="s">
        <v>221</v>
      </c>
      <c r="B176" s="3">
        <v>45681</v>
      </c>
      <c r="C176" s="3">
        <v>45681.932500000003</v>
      </c>
      <c r="D176" t="s">
        <v>12</v>
      </c>
      <c r="E176" t="s">
        <v>40</v>
      </c>
      <c r="F176" t="s">
        <v>45</v>
      </c>
      <c r="G176" t="s">
        <v>26</v>
      </c>
      <c r="H176">
        <v>4</v>
      </c>
      <c r="I176">
        <v>22.38</v>
      </c>
      <c r="J176">
        <v>2.4300000000000002</v>
      </c>
      <c r="K176">
        <v>2</v>
      </c>
      <c r="L176" t="str">
        <f>IF(tblTickets[[#This Row],[SLA Target (hrs)]]&gt;=tblTickets[[#This Row],[Actual Resolution Time (hrs)]],"Yes","No")</f>
        <v>No</v>
      </c>
      <c r="M176">
        <f>(tblTickets[[#This Row],[Resolved Date]]-tblTickets[[#This Row],[Created Date]])*24</f>
        <v>22.380000000062864</v>
      </c>
      <c r="N176" t="str">
        <f>IF(tblTickets[[#This Row],[Customer Satisfaction]]&gt;=4,"Satisfied",IF(tblTickets[[#This Row],[Customer Satisfaction]]=3,"Neutral","Dissatisfied"))</f>
        <v>Dissatisfied</v>
      </c>
    </row>
    <row r="177" spans="1:14" x14ac:dyDescent="0.35">
      <c r="A177" t="s">
        <v>282</v>
      </c>
      <c r="B177" s="3">
        <v>45689</v>
      </c>
      <c r="C177" s="3">
        <v>45689.942499999997</v>
      </c>
      <c r="D177" t="s">
        <v>30</v>
      </c>
      <c r="E177" t="s">
        <v>13</v>
      </c>
      <c r="F177" t="s">
        <v>45</v>
      </c>
      <c r="G177" t="s">
        <v>15</v>
      </c>
      <c r="H177">
        <v>4</v>
      </c>
      <c r="I177">
        <v>22.62</v>
      </c>
      <c r="J177">
        <v>5.76</v>
      </c>
      <c r="K177">
        <v>2</v>
      </c>
      <c r="L177" t="str">
        <f>IF(tblTickets[[#This Row],[SLA Target (hrs)]]&gt;=tblTickets[[#This Row],[Actual Resolution Time (hrs)]],"Yes","No")</f>
        <v>No</v>
      </c>
      <c r="M177">
        <f>(tblTickets[[#This Row],[Resolved Date]]-tblTickets[[#This Row],[Created Date]])*24</f>
        <v>22.619999999937136</v>
      </c>
      <c r="N177" t="str">
        <f>IF(tblTickets[[#This Row],[Customer Satisfaction]]&gt;=4,"Satisfied",IF(tblTickets[[#This Row],[Customer Satisfaction]]=3,"Neutral","Dissatisfied"))</f>
        <v>Dissatisfied</v>
      </c>
    </row>
    <row r="178" spans="1:14" x14ac:dyDescent="0.35">
      <c r="A178" t="s">
        <v>170</v>
      </c>
      <c r="B178" s="3">
        <v>45696</v>
      </c>
      <c r="C178" s="3">
        <v>45696.94458333333</v>
      </c>
      <c r="D178" t="s">
        <v>34</v>
      </c>
      <c r="E178" t="s">
        <v>19</v>
      </c>
      <c r="F178" t="s">
        <v>41</v>
      </c>
      <c r="G178" t="s">
        <v>15</v>
      </c>
      <c r="H178">
        <v>8</v>
      </c>
      <c r="I178">
        <v>22.67</v>
      </c>
      <c r="J178">
        <v>6.28</v>
      </c>
      <c r="K178">
        <v>2</v>
      </c>
      <c r="L178" t="str">
        <f>IF(tblTickets[[#This Row],[SLA Target (hrs)]]&gt;=tblTickets[[#This Row],[Actual Resolution Time (hrs)]],"Yes","No")</f>
        <v>No</v>
      </c>
      <c r="M178">
        <f>(tblTickets[[#This Row],[Resolved Date]]-tblTickets[[#This Row],[Created Date]])*24</f>
        <v>22.669999999925494</v>
      </c>
      <c r="N178" t="str">
        <f>IF(tblTickets[[#This Row],[Customer Satisfaction]]&gt;=4,"Satisfied",IF(tblTickets[[#This Row],[Customer Satisfaction]]=3,"Neutral","Dissatisfied"))</f>
        <v>Dissatisfied</v>
      </c>
    </row>
    <row r="179" spans="1:14" x14ac:dyDescent="0.35">
      <c r="A179" t="s">
        <v>308</v>
      </c>
      <c r="B179" s="3">
        <v>45686</v>
      </c>
      <c r="C179" s="3">
        <v>45686.973333333342</v>
      </c>
      <c r="D179" t="s">
        <v>30</v>
      </c>
      <c r="E179" t="s">
        <v>17</v>
      </c>
      <c r="F179" t="s">
        <v>45</v>
      </c>
      <c r="G179" t="s">
        <v>21</v>
      </c>
      <c r="H179">
        <v>8</v>
      </c>
      <c r="I179">
        <v>23.36</v>
      </c>
      <c r="J179">
        <v>7.96</v>
      </c>
      <c r="K179">
        <v>2</v>
      </c>
      <c r="L179" t="str">
        <f>IF(tblTickets[[#This Row],[SLA Target (hrs)]]&gt;=tblTickets[[#This Row],[Actual Resolution Time (hrs)]],"Yes","No")</f>
        <v>No</v>
      </c>
      <c r="M179">
        <f>(tblTickets[[#This Row],[Resolved Date]]-tblTickets[[#This Row],[Created Date]])*24</f>
        <v>23.360000000218861</v>
      </c>
      <c r="N179" t="str">
        <f>IF(tblTickets[[#This Row],[Customer Satisfaction]]&gt;=4,"Satisfied",IF(tblTickets[[#This Row],[Customer Satisfaction]]=3,"Neutral","Dissatisfied"))</f>
        <v>Dissatisfied</v>
      </c>
    </row>
    <row r="180" spans="1:14" x14ac:dyDescent="0.35">
      <c r="A180" t="s">
        <v>472</v>
      </c>
      <c r="B180" s="3">
        <v>45706</v>
      </c>
      <c r="C180" s="3">
        <v>45707.012916666667</v>
      </c>
      <c r="D180" t="s">
        <v>23</v>
      </c>
      <c r="E180" t="s">
        <v>40</v>
      </c>
      <c r="F180" t="s">
        <v>25</v>
      </c>
      <c r="G180" t="s">
        <v>21</v>
      </c>
      <c r="H180">
        <v>8</v>
      </c>
      <c r="I180">
        <v>24.31</v>
      </c>
      <c r="J180">
        <v>3.86</v>
      </c>
      <c r="K180">
        <v>2</v>
      </c>
      <c r="L180" t="str">
        <f>IF(tblTickets[[#This Row],[SLA Target (hrs)]]&gt;=tblTickets[[#This Row],[Actual Resolution Time (hrs)]],"Yes","No")</f>
        <v>No</v>
      </c>
      <c r="M180">
        <f>(tblTickets[[#This Row],[Resolved Date]]-tblTickets[[#This Row],[Created Date]])*24</f>
        <v>24.309999999997672</v>
      </c>
      <c r="N180" t="str">
        <f>IF(tblTickets[[#This Row],[Customer Satisfaction]]&gt;=4,"Satisfied",IF(tblTickets[[#This Row],[Customer Satisfaction]]=3,"Neutral","Dissatisfied"))</f>
        <v>Dissatisfied</v>
      </c>
    </row>
    <row r="181" spans="1:14" x14ac:dyDescent="0.35">
      <c r="A181" t="s">
        <v>136</v>
      </c>
      <c r="B181" s="3">
        <v>45679</v>
      </c>
      <c r="C181" s="3">
        <v>45680.042500000003</v>
      </c>
      <c r="D181" t="s">
        <v>12</v>
      </c>
      <c r="E181" t="s">
        <v>17</v>
      </c>
      <c r="F181" t="s">
        <v>45</v>
      </c>
      <c r="G181" t="s">
        <v>21</v>
      </c>
      <c r="H181">
        <v>4</v>
      </c>
      <c r="I181">
        <v>25.02</v>
      </c>
      <c r="J181">
        <v>1.0900000000000001</v>
      </c>
      <c r="K181">
        <v>2</v>
      </c>
      <c r="L181" t="str">
        <f>IF(tblTickets[[#This Row],[SLA Target (hrs)]]&gt;=tblTickets[[#This Row],[Actual Resolution Time (hrs)]],"Yes","No")</f>
        <v>No</v>
      </c>
      <c r="M181">
        <f>(tblTickets[[#This Row],[Resolved Date]]-tblTickets[[#This Row],[Created Date]])*24</f>
        <v>25.020000000076834</v>
      </c>
      <c r="N181" t="str">
        <f>IF(tblTickets[[#This Row],[Customer Satisfaction]]&gt;=4,"Satisfied",IF(tblTickets[[#This Row],[Customer Satisfaction]]=3,"Neutral","Dissatisfied"))</f>
        <v>Dissatisfied</v>
      </c>
    </row>
    <row r="182" spans="1:14" x14ac:dyDescent="0.35">
      <c r="A182" t="s">
        <v>98</v>
      </c>
      <c r="B182" s="3">
        <v>45706</v>
      </c>
      <c r="C182" s="3">
        <v>45707.050416666672</v>
      </c>
      <c r="D182" t="s">
        <v>12</v>
      </c>
      <c r="E182" t="s">
        <v>19</v>
      </c>
      <c r="F182" t="s">
        <v>20</v>
      </c>
      <c r="G182" t="s">
        <v>21</v>
      </c>
      <c r="H182">
        <v>4</v>
      </c>
      <c r="I182">
        <v>25.21</v>
      </c>
      <c r="J182">
        <v>2.7</v>
      </c>
      <c r="K182">
        <v>2</v>
      </c>
      <c r="L182" t="str">
        <f>IF(tblTickets[[#This Row],[SLA Target (hrs)]]&gt;=tblTickets[[#This Row],[Actual Resolution Time (hrs)]],"Yes","No")</f>
        <v>No</v>
      </c>
      <c r="M182">
        <f>(tblTickets[[#This Row],[Resolved Date]]-tblTickets[[#This Row],[Created Date]])*24</f>
        <v>25.21000000013737</v>
      </c>
      <c r="N182" t="str">
        <f>IF(tblTickets[[#This Row],[Customer Satisfaction]]&gt;=4,"Satisfied",IF(tblTickets[[#This Row],[Customer Satisfaction]]=3,"Neutral","Dissatisfied"))</f>
        <v>Dissatisfied</v>
      </c>
    </row>
    <row r="183" spans="1:14" x14ac:dyDescent="0.35">
      <c r="A183" t="s">
        <v>175</v>
      </c>
      <c r="B183" s="3">
        <v>45710</v>
      </c>
      <c r="C183" s="3">
        <v>45711.052499999998</v>
      </c>
      <c r="D183" t="s">
        <v>12</v>
      </c>
      <c r="E183" t="s">
        <v>13</v>
      </c>
      <c r="F183" t="s">
        <v>45</v>
      </c>
      <c r="G183" t="s">
        <v>21</v>
      </c>
      <c r="H183">
        <v>24</v>
      </c>
      <c r="I183">
        <v>25.26</v>
      </c>
      <c r="J183">
        <v>2.13</v>
      </c>
      <c r="K183">
        <v>2</v>
      </c>
      <c r="L183" t="str">
        <f>IF(tblTickets[[#This Row],[SLA Target (hrs)]]&gt;=tblTickets[[#This Row],[Actual Resolution Time (hrs)]],"Yes","No")</f>
        <v>No</v>
      </c>
      <c r="M183">
        <f>(tblTickets[[#This Row],[Resolved Date]]-tblTickets[[#This Row],[Created Date]])*24</f>
        <v>25.259999999951106</v>
      </c>
      <c r="N183" t="str">
        <f>IF(tblTickets[[#This Row],[Customer Satisfaction]]&gt;=4,"Satisfied",IF(tblTickets[[#This Row],[Customer Satisfaction]]=3,"Neutral","Dissatisfied"))</f>
        <v>Dissatisfied</v>
      </c>
    </row>
    <row r="184" spans="1:14" x14ac:dyDescent="0.35">
      <c r="A184" t="s">
        <v>76</v>
      </c>
      <c r="B184" s="3">
        <v>45689</v>
      </c>
      <c r="C184" s="3">
        <v>45690.054166666669</v>
      </c>
      <c r="D184" t="s">
        <v>30</v>
      </c>
      <c r="E184" t="s">
        <v>40</v>
      </c>
      <c r="F184" t="s">
        <v>45</v>
      </c>
      <c r="G184" t="s">
        <v>26</v>
      </c>
      <c r="H184">
        <v>4</v>
      </c>
      <c r="I184">
        <v>25.3</v>
      </c>
      <c r="J184">
        <v>3.83</v>
      </c>
      <c r="K184">
        <v>2</v>
      </c>
      <c r="L184" t="str">
        <f>IF(tblTickets[[#This Row],[SLA Target (hrs)]]&gt;=tblTickets[[#This Row],[Actual Resolution Time (hrs)]],"Yes","No")</f>
        <v>No</v>
      </c>
      <c r="M184">
        <f>(tblTickets[[#This Row],[Resolved Date]]-tblTickets[[#This Row],[Created Date]])*24</f>
        <v>25.300000000046566</v>
      </c>
      <c r="N184" t="str">
        <f>IF(tblTickets[[#This Row],[Customer Satisfaction]]&gt;=4,"Satisfied",IF(tblTickets[[#This Row],[Customer Satisfaction]]=3,"Neutral","Dissatisfied"))</f>
        <v>Dissatisfied</v>
      </c>
    </row>
    <row r="185" spans="1:14" x14ac:dyDescent="0.35">
      <c r="A185" t="s">
        <v>31</v>
      </c>
      <c r="B185" s="3">
        <v>45680</v>
      </c>
      <c r="C185" s="3">
        <v>45681.055833333332</v>
      </c>
      <c r="D185" t="s">
        <v>30</v>
      </c>
      <c r="E185" t="s">
        <v>19</v>
      </c>
      <c r="F185" t="s">
        <v>14</v>
      </c>
      <c r="G185" t="s">
        <v>21</v>
      </c>
      <c r="H185">
        <v>8</v>
      </c>
      <c r="I185">
        <v>25.34</v>
      </c>
      <c r="J185">
        <v>5.0199999999999996</v>
      </c>
      <c r="K185">
        <v>2</v>
      </c>
      <c r="L185" t="str">
        <f>IF(tblTickets[[#This Row],[SLA Target (hrs)]]&gt;=tblTickets[[#This Row],[Actual Resolution Time (hrs)]],"Yes","No")</f>
        <v>No</v>
      </c>
      <c r="M185">
        <f>(tblTickets[[#This Row],[Resolved Date]]-tblTickets[[#This Row],[Created Date]])*24</f>
        <v>25.339999999967404</v>
      </c>
      <c r="N185" t="str">
        <f>IF(tblTickets[[#This Row],[Customer Satisfaction]]&gt;=4,"Satisfied",IF(tblTickets[[#This Row],[Customer Satisfaction]]=3,"Neutral","Dissatisfied"))</f>
        <v>Dissatisfied</v>
      </c>
    </row>
    <row r="186" spans="1:14" x14ac:dyDescent="0.35">
      <c r="A186" t="s">
        <v>220</v>
      </c>
      <c r="B186" s="3">
        <v>45702</v>
      </c>
      <c r="C186" s="3">
        <v>45703.064166666663</v>
      </c>
      <c r="D186" t="s">
        <v>34</v>
      </c>
      <c r="E186" t="s">
        <v>19</v>
      </c>
      <c r="F186" t="s">
        <v>41</v>
      </c>
      <c r="G186" t="s">
        <v>26</v>
      </c>
      <c r="H186">
        <v>4</v>
      </c>
      <c r="I186">
        <v>25.54</v>
      </c>
      <c r="J186">
        <v>0.82</v>
      </c>
      <c r="K186">
        <v>2</v>
      </c>
      <c r="L186" t="str">
        <f>IF(tblTickets[[#This Row],[SLA Target (hrs)]]&gt;=tblTickets[[#This Row],[Actual Resolution Time (hrs)]],"Yes","No")</f>
        <v>No</v>
      </c>
      <c r="M186">
        <f>(tblTickets[[#This Row],[Resolved Date]]-tblTickets[[#This Row],[Created Date]])*24</f>
        <v>25.539999999920838</v>
      </c>
      <c r="N186" t="str">
        <f>IF(tblTickets[[#This Row],[Customer Satisfaction]]&gt;=4,"Satisfied",IF(tblTickets[[#This Row],[Customer Satisfaction]]=3,"Neutral","Dissatisfied"))</f>
        <v>Dissatisfied</v>
      </c>
    </row>
    <row r="187" spans="1:14" x14ac:dyDescent="0.35">
      <c r="A187" t="s">
        <v>134</v>
      </c>
      <c r="B187" s="3">
        <v>45740</v>
      </c>
      <c r="C187" s="3">
        <v>45741.083749999998</v>
      </c>
      <c r="D187" t="s">
        <v>23</v>
      </c>
      <c r="E187" t="s">
        <v>19</v>
      </c>
      <c r="F187" t="s">
        <v>45</v>
      </c>
      <c r="G187" t="s">
        <v>26</v>
      </c>
      <c r="H187">
        <v>8</v>
      </c>
      <c r="I187">
        <v>26.01</v>
      </c>
      <c r="J187">
        <v>6.62</v>
      </c>
      <c r="K187">
        <v>2</v>
      </c>
      <c r="L187" t="str">
        <f>IF(tblTickets[[#This Row],[SLA Target (hrs)]]&gt;=tblTickets[[#This Row],[Actual Resolution Time (hrs)]],"Yes","No")</f>
        <v>No</v>
      </c>
      <c r="M187">
        <f>(tblTickets[[#This Row],[Resolved Date]]-tblTickets[[#This Row],[Created Date]])*24</f>
        <v>26.009999999951106</v>
      </c>
      <c r="N187" t="str">
        <f>IF(tblTickets[[#This Row],[Customer Satisfaction]]&gt;=4,"Satisfied",IF(tblTickets[[#This Row],[Customer Satisfaction]]=3,"Neutral","Dissatisfied"))</f>
        <v>Dissatisfied</v>
      </c>
    </row>
    <row r="188" spans="1:14" x14ac:dyDescent="0.35">
      <c r="A188" t="s">
        <v>75</v>
      </c>
      <c r="B188" s="3">
        <v>45736</v>
      </c>
      <c r="C188" s="3">
        <v>45737.102500000001</v>
      </c>
      <c r="D188" t="s">
        <v>34</v>
      </c>
      <c r="E188" t="s">
        <v>19</v>
      </c>
      <c r="F188" t="s">
        <v>25</v>
      </c>
      <c r="G188" t="s">
        <v>26</v>
      </c>
      <c r="H188">
        <v>24</v>
      </c>
      <c r="I188">
        <v>26.46</v>
      </c>
      <c r="J188">
        <v>7.34</v>
      </c>
      <c r="K188">
        <v>2</v>
      </c>
      <c r="L188" t="str">
        <f>IF(tblTickets[[#This Row],[SLA Target (hrs)]]&gt;=tblTickets[[#This Row],[Actual Resolution Time (hrs)]],"Yes","No")</f>
        <v>No</v>
      </c>
      <c r="M188">
        <f>(tblTickets[[#This Row],[Resolved Date]]-tblTickets[[#This Row],[Created Date]])*24</f>
        <v>26.460000000020955</v>
      </c>
      <c r="N188" t="str">
        <f>IF(tblTickets[[#This Row],[Customer Satisfaction]]&gt;=4,"Satisfied",IF(tblTickets[[#This Row],[Customer Satisfaction]]=3,"Neutral","Dissatisfied"))</f>
        <v>Dissatisfied</v>
      </c>
    </row>
    <row r="189" spans="1:14" x14ac:dyDescent="0.35">
      <c r="A189" t="s">
        <v>94</v>
      </c>
      <c r="B189" s="3">
        <v>45687</v>
      </c>
      <c r="C189" s="3">
        <v>45688.111250000002</v>
      </c>
      <c r="D189" t="s">
        <v>23</v>
      </c>
      <c r="E189" t="s">
        <v>40</v>
      </c>
      <c r="F189" t="s">
        <v>25</v>
      </c>
      <c r="G189" t="s">
        <v>26</v>
      </c>
      <c r="H189">
        <v>24</v>
      </c>
      <c r="I189">
        <v>26.67</v>
      </c>
      <c r="J189">
        <v>1.32</v>
      </c>
      <c r="K189">
        <v>2</v>
      </c>
      <c r="L189" t="str">
        <f>IF(tblTickets[[#This Row],[SLA Target (hrs)]]&gt;=tblTickets[[#This Row],[Actual Resolution Time (hrs)]],"Yes","No")</f>
        <v>No</v>
      </c>
      <c r="M189">
        <f>(tblTickets[[#This Row],[Resolved Date]]-tblTickets[[#This Row],[Created Date]])*24</f>
        <v>26.67000000004191</v>
      </c>
      <c r="N189" t="str">
        <f>IF(tblTickets[[#This Row],[Customer Satisfaction]]&gt;=4,"Satisfied",IF(tblTickets[[#This Row],[Customer Satisfaction]]=3,"Neutral","Dissatisfied"))</f>
        <v>Dissatisfied</v>
      </c>
    </row>
    <row r="190" spans="1:14" x14ac:dyDescent="0.35">
      <c r="A190" t="s">
        <v>216</v>
      </c>
      <c r="B190" s="3">
        <v>45676</v>
      </c>
      <c r="C190" s="3">
        <v>45677.111250000002</v>
      </c>
      <c r="D190" t="s">
        <v>30</v>
      </c>
      <c r="E190" t="s">
        <v>19</v>
      </c>
      <c r="F190" t="s">
        <v>20</v>
      </c>
      <c r="G190" t="s">
        <v>21</v>
      </c>
      <c r="H190">
        <v>24</v>
      </c>
      <c r="I190">
        <v>26.67</v>
      </c>
      <c r="J190">
        <v>1.44</v>
      </c>
      <c r="K190">
        <v>2</v>
      </c>
      <c r="L190" t="str">
        <f>IF(tblTickets[[#This Row],[SLA Target (hrs)]]&gt;=tblTickets[[#This Row],[Actual Resolution Time (hrs)]],"Yes","No")</f>
        <v>No</v>
      </c>
      <c r="M190">
        <f>(tblTickets[[#This Row],[Resolved Date]]-tblTickets[[#This Row],[Created Date]])*24</f>
        <v>26.67000000004191</v>
      </c>
      <c r="N190" t="str">
        <f>IF(tblTickets[[#This Row],[Customer Satisfaction]]&gt;=4,"Satisfied",IF(tblTickets[[#This Row],[Customer Satisfaction]]=3,"Neutral","Dissatisfied"))</f>
        <v>Dissatisfied</v>
      </c>
    </row>
    <row r="191" spans="1:14" x14ac:dyDescent="0.35">
      <c r="A191" t="s">
        <v>506</v>
      </c>
      <c r="B191" s="3">
        <v>45673</v>
      </c>
      <c r="C191" s="3">
        <v>45674.148333333331</v>
      </c>
      <c r="D191" t="s">
        <v>34</v>
      </c>
      <c r="E191" t="s">
        <v>40</v>
      </c>
      <c r="F191" t="s">
        <v>20</v>
      </c>
      <c r="G191" t="s">
        <v>21</v>
      </c>
      <c r="H191">
        <v>24</v>
      </c>
      <c r="I191">
        <v>27.56</v>
      </c>
      <c r="J191">
        <v>3.65</v>
      </c>
      <c r="K191">
        <v>2</v>
      </c>
      <c r="L191" t="str">
        <f>IF(tblTickets[[#This Row],[SLA Target (hrs)]]&gt;=tblTickets[[#This Row],[Actual Resolution Time (hrs)]],"Yes","No")</f>
        <v>No</v>
      </c>
      <c r="M191">
        <f>(tblTickets[[#This Row],[Resolved Date]]-tblTickets[[#This Row],[Created Date]])*24</f>
        <v>27.559999999939464</v>
      </c>
      <c r="N191" t="str">
        <f>IF(tblTickets[[#This Row],[Customer Satisfaction]]&gt;=4,"Satisfied",IF(tblTickets[[#This Row],[Customer Satisfaction]]=3,"Neutral","Dissatisfied"))</f>
        <v>Dissatisfied</v>
      </c>
    </row>
    <row r="192" spans="1:14" x14ac:dyDescent="0.35">
      <c r="A192" t="s">
        <v>357</v>
      </c>
      <c r="B192" s="3">
        <v>45686</v>
      </c>
      <c r="C192" s="3">
        <v>45687.14916666667</v>
      </c>
      <c r="D192" t="s">
        <v>23</v>
      </c>
      <c r="E192" t="s">
        <v>13</v>
      </c>
      <c r="F192" t="s">
        <v>25</v>
      </c>
      <c r="G192" t="s">
        <v>26</v>
      </c>
      <c r="H192">
        <v>4</v>
      </c>
      <c r="I192">
        <v>27.58</v>
      </c>
      <c r="J192">
        <v>2.34</v>
      </c>
      <c r="K192">
        <v>2</v>
      </c>
      <c r="L192" t="str">
        <f>IF(tblTickets[[#This Row],[SLA Target (hrs)]]&gt;=tblTickets[[#This Row],[Actual Resolution Time (hrs)]],"Yes","No")</f>
        <v>No</v>
      </c>
      <c r="M192">
        <f>(tblTickets[[#This Row],[Resolved Date]]-tblTickets[[#This Row],[Created Date]])*24</f>
        <v>27.580000000074506</v>
      </c>
      <c r="N192" t="str">
        <f>IF(tblTickets[[#This Row],[Customer Satisfaction]]&gt;=4,"Satisfied",IF(tblTickets[[#This Row],[Customer Satisfaction]]=3,"Neutral","Dissatisfied"))</f>
        <v>Dissatisfied</v>
      </c>
    </row>
    <row r="193" spans="1:14" x14ac:dyDescent="0.35">
      <c r="A193" t="s">
        <v>341</v>
      </c>
      <c r="B193" s="3">
        <v>45708</v>
      </c>
      <c r="C193" s="3">
        <v>45709.155833333331</v>
      </c>
      <c r="D193" t="s">
        <v>34</v>
      </c>
      <c r="E193" t="s">
        <v>17</v>
      </c>
      <c r="F193" t="s">
        <v>45</v>
      </c>
      <c r="G193" t="s">
        <v>15</v>
      </c>
      <c r="H193">
        <v>4</v>
      </c>
      <c r="I193">
        <v>27.74</v>
      </c>
      <c r="J193">
        <v>3.75</v>
      </c>
      <c r="K193">
        <v>2</v>
      </c>
      <c r="L193" t="str">
        <f>IF(tblTickets[[#This Row],[SLA Target (hrs)]]&gt;=tblTickets[[#This Row],[Actual Resolution Time (hrs)]],"Yes","No")</f>
        <v>No</v>
      </c>
      <c r="M193">
        <f>(tblTickets[[#This Row],[Resolved Date]]-tblTickets[[#This Row],[Created Date]])*24</f>
        <v>27.739999999932479</v>
      </c>
      <c r="N193" t="str">
        <f>IF(tblTickets[[#This Row],[Customer Satisfaction]]&gt;=4,"Satisfied",IF(tblTickets[[#This Row],[Customer Satisfaction]]=3,"Neutral","Dissatisfied"))</f>
        <v>Dissatisfied</v>
      </c>
    </row>
    <row r="194" spans="1:14" x14ac:dyDescent="0.35">
      <c r="A194" t="s">
        <v>254</v>
      </c>
      <c r="B194" s="3">
        <v>45683</v>
      </c>
      <c r="C194" s="3">
        <v>45684.173750000002</v>
      </c>
      <c r="D194" t="s">
        <v>12</v>
      </c>
      <c r="E194" t="s">
        <v>40</v>
      </c>
      <c r="F194" t="s">
        <v>45</v>
      </c>
      <c r="G194" t="s">
        <v>21</v>
      </c>
      <c r="H194">
        <v>24</v>
      </c>
      <c r="I194">
        <v>28.17</v>
      </c>
      <c r="J194">
        <v>7.01</v>
      </c>
      <c r="K194">
        <v>2</v>
      </c>
      <c r="L194" t="str">
        <f>IF(tblTickets[[#This Row],[SLA Target (hrs)]]&gt;=tblTickets[[#This Row],[Actual Resolution Time (hrs)]],"Yes","No")</f>
        <v>No</v>
      </c>
      <c r="M194">
        <f>(tblTickets[[#This Row],[Resolved Date]]-tblTickets[[#This Row],[Created Date]])*24</f>
        <v>28.17000000004191</v>
      </c>
      <c r="N194" t="str">
        <f>IF(tblTickets[[#This Row],[Customer Satisfaction]]&gt;=4,"Satisfied",IF(tblTickets[[#This Row],[Customer Satisfaction]]=3,"Neutral","Dissatisfied"))</f>
        <v>Dissatisfied</v>
      </c>
    </row>
    <row r="195" spans="1:14" x14ac:dyDescent="0.35">
      <c r="A195" t="s">
        <v>297</v>
      </c>
      <c r="B195" s="3">
        <v>45735</v>
      </c>
      <c r="C195" s="3">
        <v>45736.177083333343</v>
      </c>
      <c r="D195" t="s">
        <v>12</v>
      </c>
      <c r="E195" t="s">
        <v>13</v>
      </c>
      <c r="F195" t="s">
        <v>14</v>
      </c>
      <c r="G195" t="s">
        <v>26</v>
      </c>
      <c r="H195">
        <v>24</v>
      </c>
      <c r="I195">
        <v>28.25</v>
      </c>
      <c r="J195">
        <v>7.93</v>
      </c>
      <c r="K195">
        <v>2</v>
      </c>
      <c r="L195" t="str">
        <f>IF(tblTickets[[#This Row],[SLA Target (hrs)]]&gt;=tblTickets[[#This Row],[Actual Resolution Time (hrs)]],"Yes","No")</f>
        <v>No</v>
      </c>
      <c r="M195">
        <f>(tblTickets[[#This Row],[Resolved Date]]-tblTickets[[#This Row],[Created Date]])*24</f>
        <v>28.250000000232831</v>
      </c>
      <c r="N195" t="str">
        <f>IF(tblTickets[[#This Row],[Customer Satisfaction]]&gt;=4,"Satisfied",IF(tblTickets[[#This Row],[Customer Satisfaction]]=3,"Neutral","Dissatisfied"))</f>
        <v>Dissatisfied</v>
      </c>
    </row>
    <row r="196" spans="1:14" x14ac:dyDescent="0.35">
      <c r="A196" t="s">
        <v>203</v>
      </c>
      <c r="B196" s="3">
        <v>45706</v>
      </c>
      <c r="C196" s="3">
        <v>45707.18</v>
      </c>
      <c r="D196" t="s">
        <v>34</v>
      </c>
      <c r="E196" t="s">
        <v>13</v>
      </c>
      <c r="F196" t="s">
        <v>45</v>
      </c>
      <c r="G196" t="s">
        <v>26</v>
      </c>
      <c r="H196">
        <v>8</v>
      </c>
      <c r="I196">
        <v>28.32</v>
      </c>
      <c r="J196">
        <v>7.58</v>
      </c>
      <c r="K196">
        <v>2</v>
      </c>
      <c r="L196" t="str">
        <f>IF(tblTickets[[#This Row],[SLA Target (hrs)]]&gt;=tblTickets[[#This Row],[Actual Resolution Time (hrs)]],"Yes","No")</f>
        <v>No</v>
      </c>
      <c r="M196">
        <f>(tblTickets[[#This Row],[Resolved Date]]-tblTickets[[#This Row],[Created Date]])*24</f>
        <v>28.320000000006985</v>
      </c>
      <c r="N196" t="str">
        <f>IF(tblTickets[[#This Row],[Customer Satisfaction]]&gt;=4,"Satisfied",IF(tblTickets[[#This Row],[Customer Satisfaction]]=3,"Neutral","Dissatisfied"))</f>
        <v>Dissatisfied</v>
      </c>
    </row>
    <row r="197" spans="1:14" x14ac:dyDescent="0.35">
      <c r="A197" t="s">
        <v>447</v>
      </c>
      <c r="B197" s="3">
        <v>45723</v>
      </c>
      <c r="C197" s="3">
        <v>45724.18041666667</v>
      </c>
      <c r="D197" t="s">
        <v>23</v>
      </c>
      <c r="E197" t="s">
        <v>13</v>
      </c>
      <c r="F197" t="s">
        <v>41</v>
      </c>
      <c r="G197" t="s">
        <v>15</v>
      </c>
      <c r="H197">
        <v>8</v>
      </c>
      <c r="I197">
        <v>28.33</v>
      </c>
      <c r="J197">
        <v>1.86</v>
      </c>
      <c r="K197">
        <v>2</v>
      </c>
      <c r="L197" t="str">
        <f>IF(tblTickets[[#This Row],[SLA Target (hrs)]]&gt;=tblTickets[[#This Row],[Actual Resolution Time (hrs)]],"Yes","No")</f>
        <v>No</v>
      </c>
      <c r="M197">
        <f>(tblTickets[[#This Row],[Resolved Date]]-tblTickets[[#This Row],[Created Date]])*24</f>
        <v>28.330000000074506</v>
      </c>
      <c r="N197" t="str">
        <f>IF(tblTickets[[#This Row],[Customer Satisfaction]]&gt;=4,"Satisfied",IF(tblTickets[[#This Row],[Customer Satisfaction]]=3,"Neutral","Dissatisfied"))</f>
        <v>Dissatisfied</v>
      </c>
    </row>
    <row r="198" spans="1:14" x14ac:dyDescent="0.35">
      <c r="A198" t="s">
        <v>184</v>
      </c>
      <c r="B198" s="3">
        <v>45704</v>
      </c>
      <c r="C198" s="3">
        <v>45705.229166666657</v>
      </c>
      <c r="D198" t="s">
        <v>23</v>
      </c>
      <c r="E198" t="s">
        <v>17</v>
      </c>
      <c r="F198" t="s">
        <v>20</v>
      </c>
      <c r="G198" t="s">
        <v>15</v>
      </c>
      <c r="H198">
        <v>24</v>
      </c>
      <c r="I198">
        <v>29.5</v>
      </c>
      <c r="J198">
        <v>6.55</v>
      </c>
      <c r="K198">
        <v>2</v>
      </c>
      <c r="L198" t="str">
        <f>IF(tblTickets[[#This Row],[SLA Target (hrs)]]&gt;=tblTickets[[#This Row],[Actual Resolution Time (hrs)]],"Yes","No")</f>
        <v>No</v>
      </c>
      <c r="M198">
        <f>(tblTickets[[#This Row],[Resolved Date]]-tblTickets[[#This Row],[Created Date]])*24</f>
        <v>29.499999999767169</v>
      </c>
      <c r="N198" t="str">
        <f>IF(tblTickets[[#This Row],[Customer Satisfaction]]&gt;=4,"Satisfied",IF(tblTickets[[#This Row],[Customer Satisfaction]]=3,"Neutral","Dissatisfied"))</f>
        <v>Dissatisfied</v>
      </c>
    </row>
    <row r="199" spans="1:14" x14ac:dyDescent="0.35">
      <c r="A199" t="s">
        <v>265</v>
      </c>
      <c r="B199" s="3">
        <v>45704</v>
      </c>
      <c r="C199" s="3">
        <v>45705.241249999999</v>
      </c>
      <c r="D199" t="s">
        <v>23</v>
      </c>
      <c r="E199" t="s">
        <v>40</v>
      </c>
      <c r="F199" t="s">
        <v>41</v>
      </c>
      <c r="G199" t="s">
        <v>21</v>
      </c>
      <c r="H199">
        <v>4</v>
      </c>
      <c r="I199">
        <v>29.79</v>
      </c>
      <c r="J199">
        <v>3.62</v>
      </c>
      <c r="K199">
        <v>2</v>
      </c>
      <c r="L199" t="str">
        <f>IF(tblTickets[[#This Row],[SLA Target (hrs)]]&gt;=tblTickets[[#This Row],[Actual Resolution Time (hrs)]],"Yes","No")</f>
        <v>No</v>
      </c>
      <c r="M199">
        <f>(tblTickets[[#This Row],[Resolved Date]]-tblTickets[[#This Row],[Created Date]])*24</f>
        <v>29.789999999979045</v>
      </c>
      <c r="N199" t="str">
        <f>IF(tblTickets[[#This Row],[Customer Satisfaction]]&gt;=4,"Satisfied",IF(tblTickets[[#This Row],[Customer Satisfaction]]=3,"Neutral","Dissatisfied"))</f>
        <v>Dissatisfied</v>
      </c>
    </row>
    <row r="200" spans="1:14" x14ac:dyDescent="0.35">
      <c r="A200" t="s">
        <v>280</v>
      </c>
      <c r="B200" s="3">
        <v>45670</v>
      </c>
      <c r="C200" s="3">
        <v>45671.256249999999</v>
      </c>
      <c r="D200" t="s">
        <v>12</v>
      </c>
      <c r="E200" t="s">
        <v>13</v>
      </c>
      <c r="F200" t="s">
        <v>41</v>
      </c>
      <c r="G200" t="s">
        <v>15</v>
      </c>
      <c r="H200">
        <v>8</v>
      </c>
      <c r="I200">
        <v>30.15</v>
      </c>
      <c r="J200">
        <v>3.23</v>
      </c>
      <c r="K200">
        <v>2</v>
      </c>
      <c r="L200" t="str">
        <f>IF(tblTickets[[#This Row],[SLA Target (hrs)]]&gt;=tblTickets[[#This Row],[Actual Resolution Time (hrs)]],"Yes","No")</f>
        <v>No</v>
      </c>
      <c r="M200">
        <f>(tblTickets[[#This Row],[Resolved Date]]-tblTickets[[#This Row],[Created Date]])*24</f>
        <v>30.149999999965075</v>
      </c>
      <c r="N200" t="str">
        <f>IF(tblTickets[[#This Row],[Customer Satisfaction]]&gt;=4,"Satisfied",IF(tblTickets[[#This Row],[Customer Satisfaction]]=3,"Neutral","Dissatisfied"))</f>
        <v>Dissatisfied</v>
      </c>
    </row>
    <row r="201" spans="1:14" x14ac:dyDescent="0.35">
      <c r="A201" t="s">
        <v>284</v>
      </c>
      <c r="B201" s="3">
        <v>45675</v>
      </c>
      <c r="C201" s="3">
        <v>45676.2575</v>
      </c>
      <c r="D201" t="s">
        <v>30</v>
      </c>
      <c r="E201" t="s">
        <v>13</v>
      </c>
      <c r="F201" t="s">
        <v>20</v>
      </c>
      <c r="G201" t="s">
        <v>21</v>
      </c>
      <c r="H201">
        <v>24</v>
      </c>
      <c r="I201">
        <v>30.18</v>
      </c>
      <c r="J201">
        <v>5.16</v>
      </c>
      <c r="K201">
        <v>2</v>
      </c>
      <c r="L201" t="str">
        <f>IF(tblTickets[[#This Row],[SLA Target (hrs)]]&gt;=tblTickets[[#This Row],[Actual Resolution Time (hrs)]],"Yes","No")</f>
        <v>No</v>
      </c>
      <c r="M201">
        <f>(tblTickets[[#This Row],[Resolved Date]]-tblTickets[[#This Row],[Created Date]])*24</f>
        <v>30.179999999993015</v>
      </c>
      <c r="N201" t="str">
        <f>IF(tblTickets[[#This Row],[Customer Satisfaction]]&gt;=4,"Satisfied",IF(tblTickets[[#This Row],[Customer Satisfaction]]=3,"Neutral","Dissatisfied"))</f>
        <v>Dissatisfied</v>
      </c>
    </row>
    <row r="202" spans="1:14" x14ac:dyDescent="0.35">
      <c r="A202" t="s">
        <v>497</v>
      </c>
      <c r="B202" s="3">
        <v>45724</v>
      </c>
      <c r="C202" s="3">
        <v>45725.268333333333</v>
      </c>
      <c r="D202" t="s">
        <v>12</v>
      </c>
      <c r="E202" t="s">
        <v>17</v>
      </c>
      <c r="F202" t="s">
        <v>45</v>
      </c>
      <c r="G202" t="s">
        <v>26</v>
      </c>
      <c r="H202">
        <v>4</v>
      </c>
      <c r="I202">
        <v>30.44</v>
      </c>
      <c r="J202">
        <v>7.33</v>
      </c>
      <c r="K202">
        <v>2</v>
      </c>
      <c r="L202" t="str">
        <f>IF(tblTickets[[#This Row],[SLA Target (hrs)]]&gt;=tblTickets[[#This Row],[Actual Resolution Time (hrs)]],"Yes","No")</f>
        <v>No</v>
      </c>
      <c r="M202">
        <f>(tblTickets[[#This Row],[Resolved Date]]-tblTickets[[#This Row],[Created Date]])*24</f>
        <v>30.440000000002328</v>
      </c>
      <c r="N202" t="str">
        <f>IF(tblTickets[[#This Row],[Customer Satisfaction]]&gt;=4,"Satisfied",IF(tblTickets[[#This Row],[Customer Satisfaction]]=3,"Neutral","Dissatisfied"))</f>
        <v>Dissatisfied</v>
      </c>
    </row>
    <row r="203" spans="1:14" x14ac:dyDescent="0.35">
      <c r="A203" t="s">
        <v>267</v>
      </c>
      <c r="B203" s="3">
        <v>45738</v>
      </c>
      <c r="C203" s="3">
        <v>45739.285833333342</v>
      </c>
      <c r="D203" t="s">
        <v>23</v>
      </c>
      <c r="E203" t="s">
        <v>17</v>
      </c>
      <c r="F203" t="s">
        <v>25</v>
      </c>
      <c r="G203" t="s">
        <v>26</v>
      </c>
      <c r="H203">
        <v>8</v>
      </c>
      <c r="I203">
        <v>30.86</v>
      </c>
      <c r="J203">
        <v>7.32</v>
      </c>
      <c r="K203">
        <v>2</v>
      </c>
      <c r="L203" t="str">
        <f>IF(tblTickets[[#This Row],[SLA Target (hrs)]]&gt;=tblTickets[[#This Row],[Actual Resolution Time (hrs)]],"Yes","No")</f>
        <v>No</v>
      </c>
      <c r="M203">
        <f>(tblTickets[[#This Row],[Resolved Date]]-tblTickets[[#This Row],[Created Date]])*24</f>
        <v>30.860000000218861</v>
      </c>
      <c r="N203" t="str">
        <f>IF(tblTickets[[#This Row],[Customer Satisfaction]]&gt;=4,"Satisfied",IF(tblTickets[[#This Row],[Customer Satisfaction]]=3,"Neutral","Dissatisfied"))</f>
        <v>Dissatisfied</v>
      </c>
    </row>
    <row r="204" spans="1:14" x14ac:dyDescent="0.35">
      <c r="A204" t="s">
        <v>324</v>
      </c>
      <c r="B204" s="3">
        <v>45721</v>
      </c>
      <c r="C204" s="3">
        <v>45722.311666666668</v>
      </c>
      <c r="D204" t="s">
        <v>34</v>
      </c>
      <c r="E204" t="s">
        <v>13</v>
      </c>
      <c r="F204" t="s">
        <v>41</v>
      </c>
      <c r="G204" t="s">
        <v>15</v>
      </c>
      <c r="H204">
        <v>8</v>
      </c>
      <c r="I204">
        <v>31.48</v>
      </c>
      <c r="J204">
        <v>3.61</v>
      </c>
      <c r="K204">
        <v>2</v>
      </c>
      <c r="L204" t="str">
        <f>IF(tblTickets[[#This Row],[SLA Target (hrs)]]&gt;=tblTickets[[#This Row],[Actual Resolution Time (hrs)]],"Yes","No")</f>
        <v>No</v>
      </c>
      <c r="M204">
        <f>(tblTickets[[#This Row],[Resolved Date]]-tblTickets[[#This Row],[Created Date]])*24</f>
        <v>31.480000000039581</v>
      </c>
      <c r="N204" t="str">
        <f>IF(tblTickets[[#This Row],[Customer Satisfaction]]&gt;=4,"Satisfied",IF(tblTickets[[#This Row],[Customer Satisfaction]]=3,"Neutral","Dissatisfied"))</f>
        <v>Dissatisfied</v>
      </c>
    </row>
    <row r="205" spans="1:14" x14ac:dyDescent="0.35">
      <c r="A205" t="s">
        <v>492</v>
      </c>
      <c r="B205" s="3">
        <v>45678</v>
      </c>
      <c r="C205" s="3">
        <v>45679.312916666669</v>
      </c>
      <c r="D205" t="s">
        <v>23</v>
      </c>
      <c r="E205" t="s">
        <v>13</v>
      </c>
      <c r="F205" t="s">
        <v>20</v>
      </c>
      <c r="G205" t="s">
        <v>26</v>
      </c>
      <c r="H205">
        <v>24</v>
      </c>
      <c r="I205">
        <v>31.51</v>
      </c>
      <c r="J205">
        <v>2.76</v>
      </c>
      <c r="K205">
        <v>2</v>
      </c>
      <c r="L205" t="str">
        <f>IF(tblTickets[[#This Row],[SLA Target (hrs)]]&gt;=tblTickets[[#This Row],[Actual Resolution Time (hrs)]],"Yes","No")</f>
        <v>No</v>
      </c>
      <c r="M205">
        <f>(tblTickets[[#This Row],[Resolved Date]]-tblTickets[[#This Row],[Created Date]])*24</f>
        <v>31.510000000067521</v>
      </c>
      <c r="N205" t="str">
        <f>IF(tblTickets[[#This Row],[Customer Satisfaction]]&gt;=4,"Satisfied",IF(tblTickets[[#This Row],[Customer Satisfaction]]=3,"Neutral","Dissatisfied"))</f>
        <v>Dissatisfied</v>
      </c>
    </row>
    <row r="206" spans="1:14" x14ac:dyDescent="0.35">
      <c r="A206" t="s">
        <v>264</v>
      </c>
      <c r="B206" s="3">
        <v>45661</v>
      </c>
      <c r="C206" s="3">
        <v>45662.334999999999</v>
      </c>
      <c r="D206" t="s">
        <v>34</v>
      </c>
      <c r="E206" t="s">
        <v>19</v>
      </c>
      <c r="F206" t="s">
        <v>45</v>
      </c>
      <c r="G206" t="s">
        <v>15</v>
      </c>
      <c r="H206">
        <v>24</v>
      </c>
      <c r="I206">
        <v>32.04</v>
      </c>
      <c r="J206">
        <v>7.32</v>
      </c>
      <c r="K206">
        <v>2</v>
      </c>
      <c r="L206" t="str">
        <f>IF(tblTickets[[#This Row],[SLA Target (hrs)]]&gt;=tblTickets[[#This Row],[Actual Resolution Time (hrs)]],"Yes","No")</f>
        <v>No</v>
      </c>
      <c r="M206">
        <f>(tblTickets[[#This Row],[Resolved Date]]-tblTickets[[#This Row],[Created Date]])*24</f>
        <v>32.039999999979045</v>
      </c>
      <c r="N206" t="str">
        <f>IF(tblTickets[[#This Row],[Customer Satisfaction]]&gt;=4,"Satisfied",IF(tblTickets[[#This Row],[Customer Satisfaction]]=3,"Neutral","Dissatisfied"))</f>
        <v>Dissatisfied</v>
      </c>
    </row>
    <row r="207" spans="1:14" x14ac:dyDescent="0.35">
      <c r="A207" t="s">
        <v>251</v>
      </c>
      <c r="B207" s="3">
        <v>45666</v>
      </c>
      <c r="C207" s="3">
        <v>45667.338750000003</v>
      </c>
      <c r="D207" t="s">
        <v>34</v>
      </c>
      <c r="E207" t="s">
        <v>40</v>
      </c>
      <c r="F207" t="s">
        <v>45</v>
      </c>
      <c r="G207" t="s">
        <v>21</v>
      </c>
      <c r="H207">
        <v>4</v>
      </c>
      <c r="I207">
        <v>32.130000000000003</v>
      </c>
      <c r="J207">
        <v>2.39</v>
      </c>
      <c r="K207">
        <v>2</v>
      </c>
      <c r="L207" t="str">
        <f>IF(tblTickets[[#This Row],[SLA Target (hrs)]]&gt;=tblTickets[[#This Row],[Actual Resolution Time (hrs)]],"Yes","No")</f>
        <v>No</v>
      </c>
      <c r="M207">
        <f>(tblTickets[[#This Row],[Resolved Date]]-tblTickets[[#This Row],[Created Date]])*24</f>
        <v>32.130000000062864</v>
      </c>
      <c r="N207" t="str">
        <f>IF(tblTickets[[#This Row],[Customer Satisfaction]]&gt;=4,"Satisfied",IF(tblTickets[[#This Row],[Customer Satisfaction]]=3,"Neutral","Dissatisfied"))</f>
        <v>Dissatisfied</v>
      </c>
    </row>
    <row r="208" spans="1:14" x14ac:dyDescent="0.35">
      <c r="A208" t="s">
        <v>423</v>
      </c>
      <c r="B208" s="3">
        <v>45673</v>
      </c>
      <c r="C208" s="3">
        <v>45674.34375</v>
      </c>
      <c r="D208" t="s">
        <v>23</v>
      </c>
      <c r="E208" t="s">
        <v>13</v>
      </c>
      <c r="F208" t="s">
        <v>14</v>
      </c>
      <c r="G208" t="s">
        <v>15</v>
      </c>
      <c r="H208">
        <v>8</v>
      </c>
      <c r="I208">
        <v>32.25</v>
      </c>
      <c r="J208">
        <v>3.45</v>
      </c>
      <c r="K208">
        <v>2</v>
      </c>
      <c r="L208" t="str">
        <f>IF(tblTickets[[#This Row],[SLA Target (hrs)]]&gt;=tblTickets[[#This Row],[Actual Resolution Time (hrs)]],"Yes","No")</f>
        <v>No</v>
      </c>
      <c r="M208">
        <f>(tblTickets[[#This Row],[Resolved Date]]-tblTickets[[#This Row],[Created Date]])*24</f>
        <v>32.25</v>
      </c>
      <c r="N208" t="str">
        <f>IF(tblTickets[[#This Row],[Customer Satisfaction]]&gt;=4,"Satisfied",IF(tblTickets[[#This Row],[Customer Satisfaction]]=3,"Neutral","Dissatisfied"))</f>
        <v>Dissatisfied</v>
      </c>
    </row>
    <row r="209" spans="1:14" x14ac:dyDescent="0.35">
      <c r="A209" t="s">
        <v>95</v>
      </c>
      <c r="B209" s="3">
        <v>45737</v>
      </c>
      <c r="C209" s="3">
        <v>45738.361666666657</v>
      </c>
      <c r="D209" t="s">
        <v>12</v>
      </c>
      <c r="E209" t="s">
        <v>13</v>
      </c>
      <c r="F209" t="s">
        <v>20</v>
      </c>
      <c r="G209" t="s">
        <v>26</v>
      </c>
      <c r="H209">
        <v>4</v>
      </c>
      <c r="I209">
        <v>32.68</v>
      </c>
      <c r="J209">
        <v>4.21</v>
      </c>
      <c r="K209">
        <v>2</v>
      </c>
      <c r="L209" t="str">
        <f>IF(tblTickets[[#This Row],[SLA Target (hrs)]]&gt;=tblTickets[[#This Row],[Actual Resolution Time (hrs)]],"Yes","No")</f>
        <v>No</v>
      </c>
      <c r="M209">
        <f>(tblTickets[[#This Row],[Resolved Date]]-tblTickets[[#This Row],[Created Date]])*24</f>
        <v>32.679999999760184</v>
      </c>
      <c r="N209" t="str">
        <f>IF(tblTickets[[#This Row],[Customer Satisfaction]]&gt;=4,"Satisfied",IF(tblTickets[[#This Row],[Customer Satisfaction]]=3,"Neutral","Dissatisfied"))</f>
        <v>Dissatisfied</v>
      </c>
    </row>
    <row r="210" spans="1:14" x14ac:dyDescent="0.35">
      <c r="A210" t="s">
        <v>132</v>
      </c>
      <c r="B210" s="3">
        <v>45695</v>
      </c>
      <c r="C210" s="3">
        <v>45696.3675</v>
      </c>
      <c r="D210" t="s">
        <v>12</v>
      </c>
      <c r="E210" t="s">
        <v>13</v>
      </c>
      <c r="F210" t="s">
        <v>41</v>
      </c>
      <c r="G210" t="s">
        <v>26</v>
      </c>
      <c r="H210">
        <v>4</v>
      </c>
      <c r="I210">
        <v>32.82</v>
      </c>
      <c r="J210">
        <v>2.2799999999999998</v>
      </c>
      <c r="K210">
        <v>2</v>
      </c>
      <c r="L210" t="str">
        <f>IF(tblTickets[[#This Row],[SLA Target (hrs)]]&gt;=tblTickets[[#This Row],[Actual Resolution Time (hrs)]],"Yes","No")</f>
        <v>No</v>
      </c>
      <c r="M210">
        <f>(tblTickets[[#This Row],[Resolved Date]]-tblTickets[[#This Row],[Created Date]])*24</f>
        <v>32.820000000006985</v>
      </c>
      <c r="N210" t="str">
        <f>IF(tblTickets[[#This Row],[Customer Satisfaction]]&gt;=4,"Satisfied",IF(tblTickets[[#This Row],[Customer Satisfaction]]=3,"Neutral","Dissatisfied"))</f>
        <v>Dissatisfied</v>
      </c>
    </row>
    <row r="211" spans="1:14" x14ac:dyDescent="0.35">
      <c r="A211" t="s">
        <v>390</v>
      </c>
      <c r="B211" s="3">
        <v>45674</v>
      </c>
      <c r="C211" s="3">
        <v>45675.371666666673</v>
      </c>
      <c r="D211" t="s">
        <v>12</v>
      </c>
      <c r="E211" t="s">
        <v>13</v>
      </c>
      <c r="F211" t="s">
        <v>20</v>
      </c>
      <c r="G211" t="s">
        <v>21</v>
      </c>
      <c r="H211">
        <v>4</v>
      </c>
      <c r="I211">
        <v>32.92</v>
      </c>
      <c r="J211">
        <v>5.22</v>
      </c>
      <c r="K211">
        <v>2</v>
      </c>
      <c r="L211" t="str">
        <f>IF(tblTickets[[#This Row],[SLA Target (hrs)]]&gt;=tblTickets[[#This Row],[Actual Resolution Time (hrs)]],"Yes","No")</f>
        <v>No</v>
      </c>
      <c r="M211">
        <f>(tblTickets[[#This Row],[Resolved Date]]-tblTickets[[#This Row],[Created Date]])*24</f>
        <v>32.920000000158325</v>
      </c>
      <c r="N211" t="str">
        <f>IF(tblTickets[[#This Row],[Customer Satisfaction]]&gt;=4,"Satisfied",IF(tblTickets[[#This Row],[Customer Satisfaction]]=3,"Neutral","Dissatisfied"))</f>
        <v>Dissatisfied</v>
      </c>
    </row>
    <row r="212" spans="1:14" x14ac:dyDescent="0.35">
      <c r="A212" t="s">
        <v>261</v>
      </c>
      <c r="B212" s="3">
        <v>45702</v>
      </c>
      <c r="C212" s="3">
        <v>45703.388749999998</v>
      </c>
      <c r="D212" t="s">
        <v>12</v>
      </c>
      <c r="E212" t="s">
        <v>40</v>
      </c>
      <c r="F212" t="s">
        <v>25</v>
      </c>
      <c r="G212" t="s">
        <v>21</v>
      </c>
      <c r="H212">
        <v>8</v>
      </c>
      <c r="I212">
        <v>33.33</v>
      </c>
      <c r="J212">
        <v>2.04</v>
      </c>
      <c r="K212">
        <v>2</v>
      </c>
      <c r="L212" t="str">
        <f>IF(tblTickets[[#This Row],[SLA Target (hrs)]]&gt;=tblTickets[[#This Row],[Actual Resolution Time (hrs)]],"Yes","No")</f>
        <v>No</v>
      </c>
      <c r="M212">
        <f>(tblTickets[[#This Row],[Resolved Date]]-tblTickets[[#This Row],[Created Date]])*24</f>
        <v>33.32999999995809</v>
      </c>
      <c r="N212" t="str">
        <f>IF(tblTickets[[#This Row],[Customer Satisfaction]]&gt;=4,"Satisfied",IF(tblTickets[[#This Row],[Customer Satisfaction]]=3,"Neutral","Dissatisfied"))</f>
        <v>Dissatisfied</v>
      </c>
    </row>
    <row r="213" spans="1:14" x14ac:dyDescent="0.35">
      <c r="A213" t="s">
        <v>354</v>
      </c>
      <c r="B213" s="3">
        <v>45670</v>
      </c>
      <c r="C213" s="3">
        <v>45671.42291666667</v>
      </c>
      <c r="D213" t="s">
        <v>30</v>
      </c>
      <c r="E213" t="s">
        <v>17</v>
      </c>
      <c r="F213" t="s">
        <v>20</v>
      </c>
      <c r="G213" t="s">
        <v>21</v>
      </c>
      <c r="H213">
        <v>24</v>
      </c>
      <c r="I213">
        <v>34.15</v>
      </c>
      <c r="J213">
        <v>5.96</v>
      </c>
      <c r="K213">
        <v>2</v>
      </c>
      <c r="L213" t="str">
        <f>IF(tblTickets[[#This Row],[SLA Target (hrs)]]&gt;=tblTickets[[#This Row],[Actual Resolution Time (hrs)]],"Yes","No")</f>
        <v>No</v>
      </c>
      <c r="M213">
        <f>(tblTickets[[#This Row],[Resolved Date]]-tblTickets[[#This Row],[Created Date]])*24</f>
        <v>34.150000000081491</v>
      </c>
      <c r="N213" t="str">
        <f>IF(tblTickets[[#This Row],[Customer Satisfaction]]&gt;=4,"Satisfied",IF(tblTickets[[#This Row],[Customer Satisfaction]]=3,"Neutral","Dissatisfied"))</f>
        <v>Dissatisfied</v>
      </c>
    </row>
    <row r="214" spans="1:14" x14ac:dyDescent="0.35">
      <c r="A214" t="s">
        <v>106</v>
      </c>
      <c r="B214" s="3">
        <v>45698</v>
      </c>
      <c r="C214" s="3">
        <v>45698.061249999999</v>
      </c>
      <c r="D214" t="s">
        <v>34</v>
      </c>
      <c r="E214" t="s">
        <v>13</v>
      </c>
      <c r="F214" t="s">
        <v>45</v>
      </c>
      <c r="G214" t="s">
        <v>21</v>
      </c>
      <c r="H214">
        <v>4</v>
      </c>
      <c r="I214">
        <v>1.47</v>
      </c>
      <c r="J214">
        <v>0.63</v>
      </c>
      <c r="K214">
        <v>3</v>
      </c>
      <c r="L214" t="str">
        <f>IF(tblTickets[[#This Row],[SLA Target (hrs)]]&gt;=tblTickets[[#This Row],[Actual Resolution Time (hrs)]],"Yes","No")</f>
        <v>Yes</v>
      </c>
      <c r="M214">
        <f>(tblTickets[[#This Row],[Resolved Date]]-tblTickets[[#This Row],[Created Date]])*24</f>
        <v>1.4699999999720603</v>
      </c>
      <c r="N214" t="str">
        <f>IF(tblTickets[[#This Row],[Customer Satisfaction]]&gt;=4,"Satisfied",IF(tblTickets[[#This Row],[Customer Satisfaction]]=3,"Neutral","Dissatisfied"))</f>
        <v>Neutral</v>
      </c>
    </row>
    <row r="215" spans="1:14" x14ac:dyDescent="0.35">
      <c r="A215" t="s">
        <v>380</v>
      </c>
      <c r="B215" s="3">
        <v>45711</v>
      </c>
      <c r="C215" s="3">
        <v>45711.069166666668</v>
      </c>
      <c r="D215" t="s">
        <v>23</v>
      </c>
      <c r="E215" t="s">
        <v>17</v>
      </c>
      <c r="F215" t="s">
        <v>45</v>
      </c>
      <c r="G215" t="s">
        <v>26</v>
      </c>
      <c r="H215">
        <v>4</v>
      </c>
      <c r="I215">
        <v>1.66</v>
      </c>
      <c r="J215">
        <v>2.17</v>
      </c>
      <c r="K215">
        <v>3</v>
      </c>
      <c r="L215" t="str">
        <f>IF(tblTickets[[#This Row],[SLA Target (hrs)]]&gt;=tblTickets[[#This Row],[Actual Resolution Time (hrs)]],"Yes","No")</f>
        <v>Yes</v>
      </c>
      <c r="M215">
        <f>(tblTickets[[#This Row],[Resolved Date]]-tblTickets[[#This Row],[Created Date]])*24</f>
        <v>1.6600000000325963</v>
      </c>
      <c r="N215" t="str">
        <f>IF(tblTickets[[#This Row],[Customer Satisfaction]]&gt;=4,"Satisfied",IF(tblTickets[[#This Row],[Customer Satisfaction]]=3,"Neutral","Dissatisfied"))</f>
        <v>Neutral</v>
      </c>
    </row>
    <row r="216" spans="1:14" x14ac:dyDescent="0.35">
      <c r="A216" t="s">
        <v>424</v>
      </c>
      <c r="B216" s="3">
        <v>45660</v>
      </c>
      <c r="C216" s="3">
        <v>45660.071250000001</v>
      </c>
      <c r="D216" t="s">
        <v>23</v>
      </c>
      <c r="E216" t="s">
        <v>40</v>
      </c>
      <c r="F216" t="s">
        <v>45</v>
      </c>
      <c r="G216" t="s">
        <v>21</v>
      </c>
      <c r="H216">
        <v>24</v>
      </c>
      <c r="I216">
        <v>1.71</v>
      </c>
      <c r="J216">
        <v>4.9000000000000004</v>
      </c>
      <c r="K216">
        <v>3</v>
      </c>
      <c r="L216" t="str">
        <f>IF(tblTickets[[#This Row],[SLA Target (hrs)]]&gt;=tblTickets[[#This Row],[Actual Resolution Time (hrs)]],"Yes","No")</f>
        <v>Yes</v>
      </c>
      <c r="M216">
        <f>(tblTickets[[#This Row],[Resolved Date]]-tblTickets[[#This Row],[Created Date]])*24</f>
        <v>1.7100000000209548</v>
      </c>
      <c r="N216" t="str">
        <f>IF(tblTickets[[#This Row],[Customer Satisfaction]]&gt;=4,"Satisfied",IF(tblTickets[[#This Row],[Customer Satisfaction]]=3,"Neutral","Dissatisfied"))</f>
        <v>Neutral</v>
      </c>
    </row>
    <row r="217" spans="1:14" x14ac:dyDescent="0.35">
      <c r="A217" t="s">
        <v>245</v>
      </c>
      <c r="B217" s="3">
        <v>45721</v>
      </c>
      <c r="C217" s="3">
        <v>45721.090833333343</v>
      </c>
      <c r="D217" t="s">
        <v>23</v>
      </c>
      <c r="E217" t="s">
        <v>19</v>
      </c>
      <c r="F217" t="s">
        <v>14</v>
      </c>
      <c r="G217" t="s">
        <v>21</v>
      </c>
      <c r="H217">
        <v>24</v>
      </c>
      <c r="I217">
        <v>2.1800000000000002</v>
      </c>
      <c r="J217">
        <v>3.99</v>
      </c>
      <c r="K217">
        <v>3</v>
      </c>
      <c r="L217" t="str">
        <f>IF(tblTickets[[#This Row],[SLA Target (hrs)]]&gt;=tblTickets[[#This Row],[Actual Resolution Time (hrs)]],"Yes","No")</f>
        <v>Yes</v>
      </c>
      <c r="M217">
        <f>(tblTickets[[#This Row],[Resolved Date]]-tblTickets[[#This Row],[Created Date]])*24</f>
        <v>2.1800000002258457</v>
      </c>
      <c r="N217" t="str">
        <f>IF(tblTickets[[#This Row],[Customer Satisfaction]]&gt;=4,"Satisfied",IF(tblTickets[[#This Row],[Customer Satisfaction]]=3,"Neutral","Dissatisfied"))</f>
        <v>Neutral</v>
      </c>
    </row>
    <row r="218" spans="1:14" x14ac:dyDescent="0.35">
      <c r="A218" t="s">
        <v>47</v>
      </c>
      <c r="B218" s="3">
        <v>45681</v>
      </c>
      <c r="C218" s="3">
        <v>45681.094166666669</v>
      </c>
      <c r="D218" t="s">
        <v>12</v>
      </c>
      <c r="E218" t="s">
        <v>17</v>
      </c>
      <c r="F218" t="s">
        <v>25</v>
      </c>
      <c r="G218" t="s">
        <v>15</v>
      </c>
      <c r="H218">
        <v>8</v>
      </c>
      <c r="I218">
        <v>2.2599999999999998</v>
      </c>
      <c r="J218">
        <v>0.95</v>
      </c>
      <c r="K218">
        <v>3</v>
      </c>
      <c r="L218" t="str">
        <f>IF(tblTickets[[#This Row],[SLA Target (hrs)]]&gt;=tblTickets[[#This Row],[Actual Resolution Time (hrs)]],"Yes","No")</f>
        <v>Yes</v>
      </c>
      <c r="M218">
        <f>(tblTickets[[#This Row],[Resolved Date]]-tblTickets[[#This Row],[Created Date]])*24</f>
        <v>2.2600000000675209</v>
      </c>
      <c r="N218" t="str">
        <f>IF(tblTickets[[#This Row],[Customer Satisfaction]]&gt;=4,"Satisfied",IF(tblTickets[[#This Row],[Customer Satisfaction]]=3,"Neutral","Dissatisfied"))</f>
        <v>Neutral</v>
      </c>
    </row>
    <row r="219" spans="1:14" x14ac:dyDescent="0.35">
      <c r="A219" t="s">
        <v>122</v>
      </c>
      <c r="B219" s="3">
        <v>45681</v>
      </c>
      <c r="C219" s="3">
        <v>45681.114999999998</v>
      </c>
      <c r="D219" t="s">
        <v>23</v>
      </c>
      <c r="E219" t="s">
        <v>13</v>
      </c>
      <c r="F219" t="s">
        <v>25</v>
      </c>
      <c r="G219" t="s">
        <v>26</v>
      </c>
      <c r="H219">
        <v>4</v>
      </c>
      <c r="I219">
        <v>2.76</v>
      </c>
      <c r="J219">
        <v>7.35</v>
      </c>
      <c r="K219">
        <v>3</v>
      </c>
      <c r="L219" t="str">
        <f>IF(tblTickets[[#This Row],[SLA Target (hrs)]]&gt;=tblTickets[[#This Row],[Actual Resolution Time (hrs)]],"Yes","No")</f>
        <v>Yes</v>
      </c>
      <c r="M219">
        <f>(tblTickets[[#This Row],[Resolved Date]]-tblTickets[[#This Row],[Created Date]])*24</f>
        <v>2.7599999999511056</v>
      </c>
      <c r="N219" t="str">
        <f>IF(tblTickets[[#This Row],[Customer Satisfaction]]&gt;=4,"Satisfied",IF(tblTickets[[#This Row],[Customer Satisfaction]]=3,"Neutral","Dissatisfied"))</f>
        <v>Neutral</v>
      </c>
    </row>
    <row r="220" spans="1:14" x14ac:dyDescent="0.35">
      <c r="A220" t="s">
        <v>158</v>
      </c>
      <c r="B220" s="3">
        <v>45677</v>
      </c>
      <c r="C220" s="3">
        <v>45677.11791666667</v>
      </c>
      <c r="D220" t="s">
        <v>34</v>
      </c>
      <c r="E220" t="s">
        <v>40</v>
      </c>
      <c r="F220" t="s">
        <v>25</v>
      </c>
      <c r="G220" t="s">
        <v>26</v>
      </c>
      <c r="H220">
        <v>24</v>
      </c>
      <c r="I220">
        <v>2.83</v>
      </c>
      <c r="J220">
        <v>6.44</v>
      </c>
      <c r="K220">
        <v>3</v>
      </c>
      <c r="L220" t="str">
        <f>IF(tblTickets[[#This Row],[SLA Target (hrs)]]&gt;=tblTickets[[#This Row],[Actual Resolution Time (hrs)]],"Yes","No")</f>
        <v>Yes</v>
      </c>
      <c r="M220">
        <f>(tblTickets[[#This Row],[Resolved Date]]-tblTickets[[#This Row],[Created Date]])*24</f>
        <v>2.8300000000745058</v>
      </c>
      <c r="N220" t="str">
        <f>IF(tblTickets[[#This Row],[Customer Satisfaction]]&gt;=4,"Satisfied",IF(tblTickets[[#This Row],[Customer Satisfaction]]=3,"Neutral","Dissatisfied"))</f>
        <v>Neutral</v>
      </c>
    </row>
    <row r="221" spans="1:14" x14ac:dyDescent="0.35">
      <c r="A221" t="s">
        <v>405</v>
      </c>
      <c r="B221" s="3">
        <v>45741</v>
      </c>
      <c r="C221" s="3">
        <v>45741.13958333333</v>
      </c>
      <c r="D221" t="s">
        <v>23</v>
      </c>
      <c r="E221" t="s">
        <v>19</v>
      </c>
      <c r="F221" t="s">
        <v>20</v>
      </c>
      <c r="G221" t="s">
        <v>15</v>
      </c>
      <c r="H221">
        <v>8</v>
      </c>
      <c r="I221">
        <v>3.35</v>
      </c>
      <c r="J221">
        <v>7.01</v>
      </c>
      <c r="K221">
        <v>3</v>
      </c>
      <c r="L221" t="str">
        <f>IF(tblTickets[[#This Row],[SLA Target (hrs)]]&gt;=tblTickets[[#This Row],[Actual Resolution Time (hrs)]],"Yes","No")</f>
        <v>Yes</v>
      </c>
      <c r="M221">
        <f>(tblTickets[[#This Row],[Resolved Date]]-tblTickets[[#This Row],[Created Date]])*24</f>
        <v>3.3499999999185093</v>
      </c>
      <c r="N221" t="str">
        <f>IF(tblTickets[[#This Row],[Customer Satisfaction]]&gt;=4,"Satisfied",IF(tblTickets[[#This Row],[Customer Satisfaction]]=3,"Neutral","Dissatisfied"))</f>
        <v>Neutral</v>
      </c>
    </row>
    <row r="222" spans="1:14" x14ac:dyDescent="0.35">
      <c r="A222" t="s">
        <v>93</v>
      </c>
      <c r="B222" s="3">
        <v>45669</v>
      </c>
      <c r="C222" s="3">
        <v>45669.150416666656</v>
      </c>
      <c r="D222" t="s">
        <v>12</v>
      </c>
      <c r="E222" t="s">
        <v>13</v>
      </c>
      <c r="F222" t="s">
        <v>41</v>
      </c>
      <c r="G222" t="s">
        <v>21</v>
      </c>
      <c r="H222">
        <v>24</v>
      </c>
      <c r="I222">
        <v>3.61</v>
      </c>
      <c r="J222">
        <v>7.52</v>
      </c>
      <c r="K222">
        <v>3</v>
      </c>
      <c r="L222" t="str">
        <f>IF(tblTickets[[#This Row],[SLA Target (hrs)]]&gt;=tblTickets[[#This Row],[Actual Resolution Time (hrs)]],"Yes","No")</f>
        <v>Yes</v>
      </c>
      <c r="M222">
        <f>(tblTickets[[#This Row],[Resolved Date]]-tblTickets[[#This Row],[Created Date]])*24</f>
        <v>3.6099999997531995</v>
      </c>
      <c r="N222" t="str">
        <f>IF(tblTickets[[#This Row],[Customer Satisfaction]]&gt;=4,"Satisfied",IF(tblTickets[[#This Row],[Customer Satisfaction]]=3,"Neutral","Dissatisfied"))</f>
        <v>Neutral</v>
      </c>
    </row>
    <row r="223" spans="1:14" x14ac:dyDescent="0.35">
      <c r="A223" t="s">
        <v>125</v>
      </c>
      <c r="B223" s="3">
        <v>45732</v>
      </c>
      <c r="C223" s="3">
        <v>45732.193749999999</v>
      </c>
      <c r="D223" t="s">
        <v>34</v>
      </c>
      <c r="E223" t="s">
        <v>17</v>
      </c>
      <c r="F223" t="s">
        <v>25</v>
      </c>
      <c r="G223" t="s">
        <v>26</v>
      </c>
      <c r="H223">
        <v>8</v>
      </c>
      <c r="I223">
        <v>4.6500000000000004</v>
      </c>
      <c r="J223">
        <v>6.75</v>
      </c>
      <c r="K223">
        <v>3</v>
      </c>
      <c r="L223" t="str">
        <f>IF(tblTickets[[#This Row],[SLA Target (hrs)]]&gt;=tblTickets[[#This Row],[Actual Resolution Time (hrs)]],"Yes","No")</f>
        <v>Yes</v>
      </c>
      <c r="M223">
        <f>(tblTickets[[#This Row],[Resolved Date]]-tblTickets[[#This Row],[Created Date]])*24</f>
        <v>4.6499999999650754</v>
      </c>
      <c r="N223" t="str">
        <f>IF(tblTickets[[#This Row],[Customer Satisfaction]]&gt;=4,"Satisfied",IF(tblTickets[[#This Row],[Customer Satisfaction]]=3,"Neutral","Dissatisfied"))</f>
        <v>Neutral</v>
      </c>
    </row>
    <row r="224" spans="1:14" x14ac:dyDescent="0.35">
      <c r="A224" t="s">
        <v>179</v>
      </c>
      <c r="B224" s="3">
        <v>45658</v>
      </c>
      <c r="C224" s="3">
        <v>45658.210416666669</v>
      </c>
      <c r="D224" t="s">
        <v>23</v>
      </c>
      <c r="E224" t="s">
        <v>19</v>
      </c>
      <c r="F224" t="s">
        <v>45</v>
      </c>
      <c r="G224" t="s">
        <v>21</v>
      </c>
      <c r="H224">
        <v>24</v>
      </c>
      <c r="I224">
        <v>5.05</v>
      </c>
      <c r="J224">
        <v>3.9</v>
      </c>
      <c r="K224">
        <v>3</v>
      </c>
      <c r="L224" t="str">
        <f>IF(tblTickets[[#This Row],[SLA Target (hrs)]]&gt;=tblTickets[[#This Row],[Actual Resolution Time (hrs)]],"Yes","No")</f>
        <v>Yes</v>
      </c>
      <c r="M224">
        <f>(tblTickets[[#This Row],[Resolved Date]]-tblTickets[[#This Row],[Created Date]])*24</f>
        <v>5.0500000000465661</v>
      </c>
      <c r="N224" t="str">
        <f>IF(tblTickets[[#This Row],[Customer Satisfaction]]&gt;=4,"Satisfied",IF(tblTickets[[#This Row],[Customer Satisfaction]]=3,"Neutral","Dissatisfied"))</f>
        <v>Neutral</v>
      </c>
    </row>
    <row r="225" spans="1:14" x14ac:dyDescent="0.35">
      <c r="A225" t="s">
        <v>332</v>
      </c>
      <c r="B225" s="3">
        <v>45725</v>
      </c>
      <c r="C225" s="3">
        <v>45725.244166666656</v>
      </c>
      <c r="D225" t="s">
        <v>12</v>
      </c>
      <c r="E225" t="s">
        <v>17</v>
      </c>
      <c r="F225" t="s">
        <v>14</v>
      </c>
      <c r="G225" t="s">
        <v>26</v>
      </c>
      <c r="H225">
        <v>24</v>
      </c>
      <c r="I225">
        <v>5.86</v>
      </c>
      <c r="J225">
        <v>1.82</v>
      </c>
      <c r="K225">
        <v>3</v>
      </c>
      <c r="L225" t="str">
        <f>IF(tblTickets[[#This Row],[SLA Target (hrs)]]&gt;=tblTickets[[#This Row],[Actual Resolution Time (hrs)]],"Yes","No")</f>
        <v>Yes</v>
      </c>
      <c r="M225">
        <f>(tblTickets[[#This Row],[Resolved Date]]-tblTickets[[#This Row],[Created Date]])*24</f>
        <v>5.8599999997531995</v>
      </c>
      <c r="N225" t="str">
        <f>IF(tblTickets[[#This Row],[Customer Satisfaction]]&gt;=4,"Satisfied",IF(tblTickets[[#This Row],[Customer Satisfaction]]=3,"Neutral","Dissatisfied"))</f>
        <v>Neutral</v>
      </c>
    </row>
    <row r="226" spans="1:14" x14ac:dyDescent="0.35">
      <c r="A226" t="s">
        <v>202</v>
      </c>
      <c r="B226" s="3">
        <v>45748</v>
      </c>
      <c r="C226" s="3">
        <v>45748.265416666669</v>
      </c>
      <c r="D226" t="s">
        <v>30</v>
      </c>
      <c r="E226" t="s">
        <v>17</v>
      </c>
      <c r="F226" t="s">
        <v>41</v>
      </c>
      <c r="G226" t="s">
        <v>21</v>
      </c>
      <c r="H226">
        <v>24</v>
      </c>
      <c r="I226">
        <v>6.37</v>
      </c>
      <c r="J226">
        <v>0.9</v>
      </c>
      <c r="K226">
        <v>3</v>
      </c>
      <c r="L226" t="str">
        <f>IF(tblTickets[[#This Row],[SLA Target (hrs)]]&gt;=tblTickets[[#This Row],[Actual Resolution Time (hrs)]],"Yes","No")</f>
        <v>Yes</v>
      </c>
      <c r="M226">
        <f>(tblTickets[[#This Row],[Resolved Date]]-tblTickets[[#This Row],[Created Date]])*24</f>
        <v>6.370000000053551</v>
      </c>
      <c r="N226" t="str">
        <f>IF(tblTickets[[#This Row],[Customer Satisfaction]]&gt;=4,"Satisfied",IF(tblTickets[[#This Row],[Customer Satisfaction]]=3,"Neutral","Dissatisfied"))</f>
        <v>Neutral</v>
      </c>
    </row>
    <row r="227" spans="1:14" x14ac:dyDescent="0.35">
      <c r="A227" t="s">
        <v>401</v>
      </c>
      <c r="B227" s="3">
        <v>45698</v>
      </c>
      <c r="C227" s="3">
        <v>45698.292500000003</v>
      </c>
      <c r="D227" t="s">
        <v>34</v>
      </c>
      <c r="E227" t="s">
        <v>40</v>
      </c>
      <c r="F227" t="s">
        <v>14</v>
      </c>
      <c r="G227" t="s">
        <v>26</v>
      </c>
      <c r="H227">
        <v>8</v>
      </c>
      <c r="I227">
        <v>7.02</v>
      </c>
      <c r="J227">
        <v>5.04</v>
      </c>
      <c r="K227">
        <v>3</v>
      </c>
      <c r="L227" t="str">
        <f>IF(tblTickets[[#This Row],[SLA Target (hrs)]]&gt;=tblTickets[[#This Row],[Actual Resolution Time (hrs)]],"Yes","No")</f>
        <v>Yes</v>
      </c>
      <c r="M227">
        <f>(tblTickets[[#This Row],[Resolved Date]]-tblTickets[[#This Row],[Created Date]])*24</f>
        <v>7.0200000000768341</v>
      </c>
      <c r="N227" t="str">
        <f>IF(tblTickets[[#This Row],[Customer Satisfaction]]&gt;=4,"Satisfied",IF(tblTickets[[#This Row],[Customer Satisfaction]]=3,"Neutral","Dissatisfied"))</f>
        <v>Neutral</v>
      </c>
    </row>
    <row r="228" spans="1:14" x14ac:dyDescent="0.35">
      <c r="A228" t="s">
        <v>187</v>
      </c>
      <c r="B228" s="3">
        <v>45747</v>
      </c>
      <c r="C228" s="3">
        <v>45747.362500000003</v>
      </c>
      <c r="D228" t="s">
        <v>12</v>
      </c>
      <c r="E228" t="s">
        <v>19</v>
      </c>
      <c r="F228" t="s">
        <v>41</v>
      </c>
      <c r="G228" t="s">
        <v>15</v>
      </c>
      <c r="H228">
        <v>24</v>
      </c>
      <c r="I228">
        <v>8.6999999999999993</v>
      </c>
      <c r="J228">
        <v>0.94</v>
      </c>
      <c r="K228">
        <v>3</v>
      </c>
      <c r="L228" t="str">
        <f>IF(tblTickets[[#This Row],[SLA Target (hrs)]]&gt;=tblTickets[[#This Row],[Actual Resolution Time (hrs)]],"Yes","No")</f>
        <v>Yes</v>
      </c>
      <c r="M228">
        <f>(tblTickets[[#This Row],[Resolved Date]]-tblTickets[[#This Row],[Created Date]])*24</f>
        <v>8.7000000000698492</v>
      </c>
      <c r="N228" t="str">
        <f>IF(tblTickets[[#This Row],[Customer Satisfaction]]&gt;=4,"Satisfied",IF(tblTickets[[#This Row],[Customer Satisfaction]]=3,"Neutral","Dissatisfied"))</f>
        <v>Neutral</v>
      </c>
    </row>
    <row r="229" spans="1:14" x14ac:dyDescent="0.35">
      <c r="A229" t="s">
        <v>376</v>
      </c>
      <c r="B229" s="3">
        <v>45677</v>
      </c>
      <c r="C229" s="3">
        <v>45677.526250000003</v>
      </c>
      <c r="D229" t="s">
        <v>30</v>
      </c>
      <c r="E229" t="s">
        <v>13</v>
      </c>
      <c r="F229" t="s">
        <v>25</v>
      </c>
      <c r="G229" t="s">
        <v>15</v>
      </c>
      <c r="H229">
        <v>24</v>
      </c>
      <c r="I229">
        <v>12.63</v>
      </c>
      <c r="J229">
        <v>1.75</v>
      </c>
      <c r="K229">
        <v>3</v>
      </c>
      <c r="L229" t="str">
        <f>IF(tblTickets[[#This Row],[SLA Target (hrs)]]&gt;=tblTickets[[#This Row],[Actual Resolution Time (hrs)]],"Yes","No")</f>
        <v>Yes</v>
      </c>
      <c r="M229">
        <f>(tblTickets[[#This Row],[Resolved Date]]-tblTickets[[#This Row],[Created Date]])*24</f>
        <v>12.630000000062864</v>
      </c>
      <c r="N229" t="str">
        <f>IF(tblTickets[[#This Row],[Customer Satisfaction]]&gt;=4,"Satisfied",IF(tblTickets[[#This Row],[Customer Satisfaction]]=3,"Neutral","Dissatisfied"))</f>
        <v>Neutral</v>
      </c>
    </row>
    <row r="230" spans="1:14" x14ac:dyDescent="0.35">
      <c r="A230" t="s">
        <v>225</v>
      </c>
      <c r="B230" s="3">
        <v>45740</v>
      </c>
      <c r="C230" s="3">
        <v>45740.566666666673</v>
      </c>
      <c r="D230" t="s">
        <v>23</v>
      </c>
      <c r="E230" t="s">
        <v>40</v>
      </c>
      <c r="F230" t="s">
        <v>45</v>
      </c>
      <c r="G230" t="s">
        <v>21</v>
      </c>
      <c r="H230">
        <v>24</v>
      </c>
      <c r="I230">
        <v>13.6</v>
      </c>
      <c r="J230">
        <v>7.38</v>
      </c>
      <c r="K230">
        <v>3</v>
      </c>
      <c r="L230" t="str">
        <f>IF(tblTickets[[#This Row],[SLA Target (hrs)]]&gt;=tblTickets[[#This Row],[Actual Resolution Time (hrs)]],"Yes","No")</f>
        <v>Yes</v>
      </c>
      <c r="M230">
        <f>(tblTickets[[#This Row],[Resolved Date]]-tblTickets[[#This Row],[Created Date]])*24</f>
        <v>13.60000000015134</v>
      </c>
      <c r="N230" t="str">
        <f>IF(tblTickets[[#This Row],[Customer Satisfaction]]&gt;=4,"Satisfied",IF(tblTickets[[#This Row],[Customer Satisfaction]]=3,"Neutral","Dissatisfied"))</f>
        <v>Neutral</v>
      </c>
    </row>
    <row r="231" spans="1:14" x14ac:dyDescent="0.35">
      <c r="A231" t="s">
        <v>48</v>
      </c>
      <c r="B231" s="3">
        <v>45715</v>
      </c>
      <c r="C231" s="3">
        <v>45715.706250000003</v>
      </c>
      <c r="D231" t="s">
        <v>34</v>
      </c>
      <c r="E231" t="s">
        <v>13</v>
      </c>
      <c r="F231" t="s">
        <v>14</v>
      </c>
      <c r="G231" t="s">
        <v>15</v>
      </c>
      <c r="H231">
        <v>24</v>
      </c>
      <c r="I231">
        <v>16.95</v>
      </c>
      <c r="J231">
        <v>4.9000000000000004</v>
      </c>
      <c r="K231">
        <v>3</v>
      </c>
      <c r="L231" t="str">
        <f>IF(tblTickets[[#This Row],[SLA Target (hrs)]]&gt;=tblTickets[[#This Row],[Actual Resolution Time (hrs)]],"Yes","No")</f>
        <v>Yes</v>
      </c>
      <c r="M231">
        <f>(tblTickets[[#This Row],[Resolved Date]]-tblTickets[[#This Row],[Created Date]])*24</f>
        <v>16.950000000069849</v>
      </c>
      <c r="N231" t="str">
        <f>IF(tblTickets[[#This Row],[Customer Satisfaction]]&gt;=4,"Satisfied",IF(tblTickets[[#This Row],[Customer Satisfaction]]=3,"Neutral","Dissatisfied"))</f>
        <v>Neutral</v>
      </c>
    </row>
    <row r="232" spans="1:14" x14ac:dyDescent="0.35">
      <c r="A232" t="s">
        <v>28</v>
      </c>
      <c r="B232" s="3">
        <v>45707</v>
      </c>
      <c r="C232" s="3">
        <v>45707.747916666667</v>
      </c>
      <c r="D232" t="s">
        <v>12</v>
      </c>
      <c r="E232" t="s">
        <v>19</v>
      </c>
      <c r="F232" t="s">
        <v>14</v>
      </c>
      <c r="G232" t="s">
        <v>15</v>
      </c>
      <c r="H232">
        <v>24</v>
      </c>
      <c r="I232">
        <v>17.95</v>
      </c>
      <c r="J232">
        <v>2.0499999999999998</v>
      </c>
      <c r="K232">
        <v>3</v>
      </c>
      <c r="L232" t="str">
        <f>IF(tblTickets[[#This Row],[SLA Target (hrs)]]&gt;=tblTickets[[#This Row],[Actual Resolution Time (hrs)]],"Yes","No")</f>
        <v>Yes</v>
      </c>
      <c r="M232">
        <f>(tblTickets[[#This Row],[Resolved Date]]-tblTickets[[#This Row],[Created Date]])*24</f>
        <v>17.950000000011642</v>
      </c>
      <c r="N232" t="str">
        <f>IF(tblTickets[[#This Row],[Customer Satisfaction]]&gt;=4,"Satisfied",IF(tblTickets[[#This Row],[Customer Satisfaction]]=3,"Neutral","Dissatisfied"))</f>
        <v>Neutral</v>
      </c>
    </row>
    <row r="233" spans="1:14" x14ac:dyDescent="0.35">
      <c r="A233" t="s">
        <v>191</v>
      </c>
      <c r="B233" s="3">
        <v>45668</v>
      </c>
      <c r="C233" s="3">
        <v>45668.752083333333</v>
      </c>
      <c r="D233" t="s">
        <v>23</v>
      </c>
      <c r="E233" t="s">
        <v>19</v>
      </c>
      <c r="F233" t="s">
        <v>25</v>
      </c>
      <c r="G233" t="s">
        <v>21</v>
      </c>
      <c r="H233">
        <v>24</v>
      </c>
      <c r="I233">
        <v>18.05</v>
      </c>
      <c r="J233">
        <v>4.53</v>
      </c>
      <c r="K233">
        <v>3</v>
      </c>
      <c r="L233" t="str">
        <f>IF(tblTickets[[#This Row],[SLA Target (hrs)]]&gt;=tblTickets[[#This Row],[Actual Resolution Time (hrs)]],"Yes","No")</f>
        <v>Yes</v>
      </c>
      <c r="M233">
        <f>(tblTickets[[#This Row],[Resolved Date]]-tblTickets[[#This Row],[Created Date]])*24</f>
        <v>18.049999999988358</v>
      </c>
      <c r="N233" t="str">
        <f>IF(tblTickets[[#This Row],[Customer Satisfaction]]&gt;=4,"Satisfied",IF(tblTickets[[#This Row],[Customer Satisfaction]]=3,"Neutral","Dissatisfied"))</f>
        <v>Neutral</v>
      </c>
    </row>
    <row r="234" spans="1:14" x14ac:dyDescent="0.35">
      <c r="A234" t="s">
        <v>305</v>
      </c>
      <c r="B234" s="3">
        <v>45660</v>
      </c>
      <c r="C234" s="3">
        <v>45660.78</v>
      </c>
      <c r="D234" t="s">
        <v>34</v>
      </c>
      <c r="E234" t="s">
        <v>17</v>
      </c>
      <c r="F234" t="s">
        <v>25</v>
      </c>
      <c r="G234" t="s">
        <v>15</v>
      </c>
      <c r="H234">
        <v>24</v>
      </c>
      <c r="I234">
        <v>18.72</v>
      </c>
      <c r="J234">
        <v>6.15</v>
      </c>
      <c r="K234">
        <v>3</v>
      </c>
      <c r="L234" t="str">
        <f>IF(tblTickets[[#This Row],[SLA Target (hrs)]]&gt;=tblTickets[[#This Row],[Actual Resolution Time (hrs)]],"Yes","No")</f>
        <v>Yes</v>
      </c>
      <c r="M234">
        <f>(tblTickets[[#This Row],[Resolved Date]]-tblTickets[[#This Row],[Created Date]])*24</f>
        <v>18.71999999997206</v>
      </c>
      <c r="N234" t="str">
        <f>IF(tblTickets[[#This Row],[Customer Satisfaction]]&gt;=4,"Satisfied",IF(tblTickets[[#This Row],[Customer Satisfaction]]=3,"Neutral","Dissatisfied"))</f>
        <v>Neutral</v>
      </c>
    </row>
    <row r="235" spans="1:14" x14ac:dyDescent="0.35">
      <c r="A235" t="s">
        <v>257</v>
      </c>
      <c r="B235" s="3">
        <v>45733</v>
      </c>
      <c r="C235" s="3">
        <v>45733.807916666658</v>
      </c>
      <c r="D235" t="s">
        <v>34</v>
      </c>
      <c r="E235" t="s">
        <v>17</v>
      </c>
      <c r="F235" t="s">
        <v>45</v>
      </c>
      <c r="G235" t="s">
        <v>15</v>
      </c>
      <c r="H235">
        <v>24</v>
      </c>
      <c r="I235">
        <v>19.39</v>
      </c>
      <c r="J235">
        <v>5.53</v>
      </c>
      <c r="K235">
        <v>3</v>
      </c>
      <c r="L235" t="str">
        <f>IF(tblTickets[[#This Row],[SLA Target (hrs)]]&gt;=tblTickets[[#This Row],[Actual Resolution Time (hrs)]],"Yes","No")</f>
        <v>Yes</v>
      </c>
      <c r="M235">
        <f>(tblTickets[[#This Row],[Resolved Date]]-tblTickets[[#This Row],[Created Date]])*24</f>
        <v>19.389999999781139</v>
      </c>
      <c r="N235" t="str">
        <f>IF(tblTickets[[#This Row],[Customer Satisfaction]]&gt;=4,"Satisfied",IF(tblTickets[[#This Row],[Customer Satisfaction]]=3,"Neutral","Dissatisfied"))</f>
        <v>Neutral</v>
      </c>
    </row>
    <row r="236" spans="1:14" x14ac:dyDescent="0.35">
      <c r="A236" t="s">
        <v>61</v>
      </c>
      <c r="B236" s="3">
        <v>45718</v>
      </c>
      <c r="C236" s="3">
        <v>45718.8125</v>
      </c>
      <c r="D236" t="s">
        <v>23</v>
      </c>
      <c r="E236" t="s">
        <v>19</v>
      </c>
      <c r="F236" t="s">
        <v>45</v>
      </c>
      <c r="G236" t="s">
        <v>15</v>
      </c>
      <c r="H236">
        <v>24</v>
      </c>
      <c r="I236">
        <v>19.5</v>
      </c>
      <c r="J236">
        <v>0.56000000000000005</v>
      </c>
      <c r="K236">
        <v>3</v>
      </c>
      <c r="L236" t="str">
        <f>IF(tblTickets[[#This Row],[SLA Target (hrs)]]&gt;=tblTickets[[#This Row],[Actual Resolution Time (hrs)]],"Yes","No")</f>
        <v>Yes</v>
      </c>
      <c r="M236">
        <f>(tblTickets[[#This Row],[Resolved Date]]-tblTickets[[#This Row],[Created Date]])*24</f>
        <v>19.5</v>
      </c>
      <c r="N236" t="str">
        <f>IF(tblTickets[[#This Row],[Customer Satisfaction]]&gt;=4,"Satisfied",IF(tblTickets[[#This Row],[Customer Satisfaction]]=3,"Neutral","Dissatisfied"))</f>
        <v>Neutral</v>
      </c>
    </row>
    <row r="237" spans="1:14" x14ac:dyDescent="0.35">
      <c r="A237" t="s">
        <v>377</v>
      </c>
      <c r="B237" s="3">
        <v>45721</v>
      </c>
      <c r="C237" s="3">
        <v>45721.849583333344</v>
      </c>
      <c r="D237" t="s">
        <v>30</v>
      </c>
      <c r="E237" t="s">
        <v>13</v>
      </c>
      <c r="F237" t="s">
        <v>25</v>
      </c>
      <c r="G237" t="s">
        <v>26</v>
      </c>
      <c r="H237">
        <v>24</v>
      </c>
      <c r="I237">
        <v>20.39</v>
      </c>
      <c r="J237">
        <v>5.48</v>
      </c>
      <c r="K237">
        <v>3</v>
      </c>
      <c r="L237" t="str">
        <f>IF(tblTickets[[#This Row],[SLA Target (hrs)]]&gt;=tblTickets[[#This Row],[Actual Resolution Time (hrs)]],"Yes","No")</f>
        <v>Yes</v>
      </c>
      <c r="M237">
        <f>(tblTickets[[#This Row],[Resolved Date]]-tblTickets[[#This Row],[Created Date]])*24</f>
        <v>20.3900000002468</v>
      </c>
      <c r="N237" t="str">
        <f>IF(tblTickets[[#This Row],[Customer Satisfaction]]&gt;=4,"Satisfied",IF(tblTickets[[#This Row],[Customer Satisfaction]]=3,"Neutral","Dissatisfied"))</f>
        <v>Neutral</v>
      </c>
    </row>
    <row r="238" spans="1:14" x14ac:dyDescent="0.35">
      <c r="A238" t="s">
        <v>279</v>
      </c>
      <c r="B238" s="3">
        <v>45705</v>
      </c>
      <c r="C238" s="3">
        <v>45705.869583333333</v>
      </c>
      <c r="D238" t="s">
        <v>12</v>
      </c>
      <c r="E238" t="s">
        <v>17</v>
      </c>
      <c r="F238" t="s">
        <v>20</v>
      </c>
      <c r="G238" t="s">
        <v>15</v>
      </c>
      <c r="H238">
        <v>24</v>
      </c>
      <c r="I238">
        <v>20.87</v>
      </c>
      <c r="J238">
        <v>1.01</v>
      </c>
      <c r="K238">
        <v>3</v>
      </c>
      <c r="L238" t="str">
        <f>IF(tblTickets[[#This Row],[SLA Target (hrs)]]&gt;=tblTickets[[#This Row],[Actual Resolution Time (hrs)]],"Yes","No")</f>
        <v>Yes</v>
      </c>
      <c r="M238">
        <f>(tblTickets[[#This Row],[Resolved Date]]-tblTickets[[#This Row],[Created Date]])*24</f>
        <v>20.869999999995343</v>
      </c>
      <c r="N238" t="str">
        <f>IF(tblTickets[[#This Row],[Customer Satisfaction]]&gt;=4,"Satisfied",IF(tblTickets[[#This Row],[Customer Satisfaction]]=3,"Neutral","Dissatisfied"))</f>
        <v>Neutral</v>
      </c>
    </row>
    <row r="239" spans="1:14" x14ac:dyDescent="0.35">
      <c r="A239" t="s">
        <v>11</v>
      </c>
      <c r="B239" s="3">
        <v>45723</v>
      </c>
      <c r="C239" s="3">
        <v>45724.462916666656</v>
      </c>
      <c r="D239" t="s">
        <v>12</v>
      </c>
      <c r="E239" t="s">
        <v>13</v>
      </c>
      <c r="F239" t="s">
        <v>14</v>
      </c>
      <c r="G239" t="s">
        <v>15</v>
      </c>
      <c r="H239">
        <v>4</v>
      </c>
      <c r="I239">
        <v>35.11</v>
      </c>
      <c r="J239">
        <v>2.2200000000000002</v>
      </c>
      <c r="K239">
        <v>3</v>
      </c>
      <c r="L239" t="str">
        <f>IF(tblTickets[[#This Row],[SLA Target (hrs)]]&gt;=tblTickets[[#This Row],[Actual Resolution Time (hrs)]],"Yes","No")</f>
        <v>No</v>
      </c>
      <c r="M239">
        <f>(tblTickets[[#This Row],[Resolved Date]]-tblTickets[[#This Row],[Created Date]])*24</f>
        <v>35.1099999997532</v>
      </c>
      <c r="N239" t="str">
        <f>IF(tblTickets[[#This Row],[Customer Satisfaction]]&gt;=4,"Satisfied",IF(tblTickets[[#This Row],[Customer Satisfaction]]=3,"Neutral","Dissatisfied"))</f>
        <v>Neutral</v>
      </c>
    </row>
    <row r="240" spans="1:14" x14ac:dyDescent="0.35">
      <c r="A240" t="s">
        <v>277</v>
      </c>
      <c r="B240" s="3">
        <v>45659</v>
      </c>
      <c r="C240" s="3">
        <v>45660.528333333343</v>
      </c>
      <c r="D240" t="s">
        <v>12</v>
      </c>
      <c r="E240" t="s">
        <v>13</v>
      </c>
      <c r="F240" t="s">
        <v>45</v>
      </c>
      <c r="G240" t="s">
        <v>21</v>
      </c>
      <c r="H240">
        <v>8</v>
      </c>
      <c r="I240">
        <v>36.68</v>
      </c>
      <c r="J240">
        <v>4.46</v>
      </c>
      <c r="K240">
        <v>3</v>
      </c>
      <c r="L240" t="str">
        <f>IF(tblTickets[[#This Row],[SLA Target (hrs)]]&gt;=tblTickets[[#This Row],[Actual Resolution Time (hrs)]],"Yes","No")</f>
        <v>No</v>
      </c>
      <c r="M240">
        <f>(tblTickets[[#This Row],[Resolved Date]]-tblTickets[[#This Row],[Created Date]])*24</f>
        <v>36.680000000225846</v>
      </c>
      <c r="N240" t="str">
        <f>IF(tblTickets[[#This Row],[Customer Satisfaction]]&gt;=4,"Satisfied",IF(tblTickets[[#This Row],[Customer Satisfaction]]=3,"Neutral","Dissatisfied"))</f>
        <v>Neutral</v>
      </c>
    </row>
    <row r="241" spans="1:14" x14ac:dyDescent="0.35">
      <c r="A241" t="s">
        <v>142</v>
      </c>
      <c r="B241" s="3">
        <v>45702</v>
      </c>
      <c r="C241" s="3">
        <v>45703.572500000002</v>
      </c>
      <c r="D241" t="s">
        <v>34</v>
      </c>
      <c r="E241" t="s">
        <v>19</v>
      </c>
      <c r="F241" t="s">
        <v>41</v>
      </c>
      <c r="G241" t="s">
        <v>15</v>
      </c>
      <c r="H241">
        <v>24</v>
      </c>
      <c r="I241">
        <v>37.74</v>
      </c>
      <c r="J241">
        <v>5.14</v>
      </c>
      <c r="K241">
        <v>3</v>
      </c>
      <c r="L241" t="str">
        <f>IF(tblTickets[[#This Row],[SLA Target (hrs)]]&gt;=tblTickets[[#This Row],[Actual Resolution Time (hrs)]],"Yes","No")</f>
        <v>No</v>
      </c>
      <c r="M241">
        <f>(tblTickets[[#This Row],[Resolved Date]]-tblTickets[[#This Row],[Created Date]])*24</f>
        <v>37.740000000048894</v>
      </c>
      <c r="N241" t="str">
        <f>IF(tblTickets[[#This Row],[Customer Satisfaction]]&gt;=4,"Satisfied",IF(tblTickets[[#This Row],[Customer Satisfaction]]=3,"Neutral","Dissatisfied"))</f>
        <v>Neutral</v>
      </c>
    </row>
    <row r="242" spans="1:14" x14ac:dyDescent="0.35">
      <c r="A242" t="s">
        <v>508</v>
      </c>
      <c r="B242" s="3">
        <v>45719</v>
      </c>
      <c r="C242" s="3">
        <v>45720.616249999999</v>
      </c>
      <c r="D242" t="s">
        <v>12</v>
      </c>
      <c r="E242" t="s">
        <v>40</v>
      </c>
      <c r="F242" t="s">
        <v>14</v>
      </c>
      <c r="G242" t="s">
        <v>26</v>
      </c>
      <c r="H242">
        <v>24</v>
      </c>
      <c r="I242">
        <v>38.79</v>
      </c>
      <c r="J242">
        <v>7.35</v>
      </c>
      <c r="K242">
        <v>3</v>
      </c>
      <c r="L242" t="str">
        <f>IF(tblTickets[[#This Row],[SLA Target (hrs)]]&gt;=tblTickets[[#This Row],[Actual Resolution Time (hrs)]],"Yes","No")</f>
        <v>No</v>
      </c>
      <c r="M242">
        <f>(tblTickets[[#This Row],[Resolved Date]]-tblTickets[[#This Row],[Created Date]])*24</f>
        <v>38.789999999979045</v>
      </c>
      <c r="N242" t="str">
        <f>IF(tblTickets[[#This Row],[Customer Satisfaction]]&gt;=4,"Satisfied",IF(tblTickets[[#This Row],[Customer Satisfaction]]=3,"Neutral","Dissatisfied"))</f>
        <v>Neutral</v>
      </c>
    </row>
    <row r="243" spans="1:14" x14ac:dyDescent="0.35">
      <c r="A243" t="s">
        <v>43</v>
      </c>
      <c r="B243" s="3">
        <v>45665</v>
      </c>
      <c r="C243" s="3">
        <v>45666.61791666667</v>
      </c>
      <c r="D243" t="s">
        <v>23</v>
      </c>
      <c r="E243" t="s">
        <v>13</v>
      </c>
      <c r="F243" t="s">
        <v>25</v>
      </c>
      <c r="G243" t="s">
        <v>26</v>
      </c>
      <c r="H243">
        <v>24</v>
      </c>
      <c r="I243">
        <v>38.83</v>
      </c>
      <c r="J243">
        <v>2.2799999999999998</v>
      </c>
      <c r="K243">
        <v>3</v>
      </c>
      <c r="L243" t="str">
        <f>IF(tblTickets[[#This Row],[SLA Target (hrs)]]&gt;=tblTickets[[#This Row],[Actual Resolution Time (hrs)]],"Yes","No")</f>
        <v>No</v>
      </c>
      <c r="M243">
        <f>(tblTickets[[#This Row],[Resolved Date]]-tblTickets[[#This Row],[Created Date]])*24</f>
        <v>38.830000000074506</v>
      </c>
      <c r="N243" t="str">
        <f>IF(tblTickets[[#This Row],[Customer Satisfaction]]&gt;=4,"Satisfied",IF(tblTickets[[#This Row],[Customer Satisfaction]]=3,"Neutral","Dissatisfied"))</f>
        <v>Neutral</v>
      </c>
    </row>
    <row r="244" spans="1:14" x14ac:dyDescent="0.35">
      <c r="A244" t="s">
        <v>306</v>
      </c>
      <c r="B244" s="3">
        <v>45692</v>
      </c>
      <c r="C244" s="3">
        <v>45693.625416666669</v>
      </c>
      <c r="D244" t="s">
        <v>23</v>
      </c>
      <c r="E244" t="s">
        <v>19</v>
      </c>
      <c r="F244" t="s">
        <v>45</v>
      </c>
      <c r="G244" t="s">
        <v>15</v>
      </c>
      <c r="H244">
        <v>4</v>
      </c>
      <c r="I244">
        <v>39.01</v>
      </c>
      <c r="J244">
        <v>2.75</v>
      </c>
      <c r="K244">
        <v>3</v>
      </c>
      <c r="L244" t="str">
        <f>IF(tblTickets[[#This Row],[SLA Target (hrs)]]&gt;=tblTickets[[#This Row],[Actual Resolution Time (hrs)]],"Yes","No")</f>
        <v>No</v>
      </c>
      <c r="M244">
        <f>(tblTickets[[#This Row],[Resolved Date]]-tblTickets[[#This Row],[Created Date]])*24</f>
        <v>39.010000000067521</v>
      </c>
      <c r="N244" t="str">
        <f>IF(tblTickets[[#This Row],[Customer Satisfaction]]&gt;=4,"Satisfied",IF(tblTickets[[#This Row],[Customer Satisfaction]]=3,"Neutral","Dissatisfied"))</f>
        <v>Neutral</v>
      </c>
    </row>
    <row r="245" spans="1:14" x14ac:dyDescent="0.35">
      <c r="A245" t="s">
        <v>298</v>
      </c>
      <c r="B245" s="3">
        <v>45741</v>
      </c>
      <c r="C245" s="3">
        <v>45742.634166666663</v>
      </c>
      <c r="D245" t="s">
        <v>23</v>
      </c>
      <c r="E245" t="s">
        <v>40</v>
      </c>
      <c r="F245" t="s">
        <v>20</v>
      </c>
      <c r="G245" t="s">
        <v>26</v>
      </c>
      <c r="H245">
        <v>8</v>
      </c>
      <c r="I245">
        <v>39.22</v>
      </c>
      <c r="J245">
        <v>3.46</v>
      </c>
      <c r="K245">
        <v>3</v>
      </c>
      <c r="L245" t="str">
        <f>IF(tblTickets[[#This Row],[SLA Target (hrs)]]&gt;=tblTickets[[#This Row],[Actual Resolution Time (hrs)]],"Yes","No")</f>
        <v>No</v>
      </c>
      <c r="M245">
        <f>(tblTickets[[#This Row],[Resolved Date]]-tblTickets[[#This Row],[Created Date]])*24</f>
        <v>39.219999999913853</v>
      </c>
      <c r="N245" t="str">
        <f>IF(tblTickets[[#This Row],[Customer Satisfaction]]&gt;=4,"Satisfied",IF(tblTickets[[#This Row],[Customer Satisfaction]]=3,"Neutral","Dissatisfied"))</f>
        <v>Neutral</v>
      </c>
    </row>
    <row r="246" spans="1:14" x14ac:dyDescent="0.35">
      <c r="A246" t="s">
        <v>338</v>
      </c>
      <c r="B246" s="3">
        <v>45711</v>
      </c>
      <c r="C246" s="3">
        <v>45712.640416666669</v>
      </c>
      <c r="D246" t="s">
        <v>34</v>
      </c>
      <c r="E246" t="s">
        <v>17</v>
      </c>
      <c r="F246" t="s">
        <v>45</v>
      </c>
      <c r="G246" t="s">
        <v>15</v>
      </c>
      <c r="H246">
        <v>8</v>
      </c>
      <c r="I246">
        <v>39.369999999999997</v>
      </c>
      <c r="J246">
        <v>1.32</v>
      </c>
      <c r="K246">
        <v>3</v>
      </c>
      <c r="L246" t="str">
        <f>IF(tblTickets[[#This Row],[SLA Target (hrs)]]&gt;=tblTickets[[#This Row],[Actual Resolution Time (hrs)]],"Yes","No")</f>
        <v>No</v>
      </c>
      <c r="M246">
        <f>(tblTickets[[#This Row],[Resolved Date]]-tblTickets[[#This Row],[Created Date]])*24</f>
        <v>39.370000000053551</v>
      </c>
      <c r="N246" t="str">
        <f>IF(tblTickets[[#This Row],[Customer Satisfaction]]&gt;=4,"Satisfied",IF(tblTickets[[#This Row],[Customer Satisfaction]]=3,"Neutral","Dissatisfied"))</f>
        <v>Neutral</v>
      </c>
    </row>
    <row r="247" spans="1:14" x14ac:dyDescent="0.35">
      <c r="A247" t="s">
        <v>140</v>
      </c>
      <c r="B247" s="3">
        <v>45695</v>
      </c>
      <c r="C247" s="3">
        <v>45696.666250000002</v>
      </c>
      <c r="D247" t="s">
        <v>23</v>
      </c>
      <c r="E247" t="s">
        <v>40</v>
      </c>
      <c r="F247" t="s">
        <v>41</v>
      </c>
      <c r="G247" t="s">
        <v>21</v>
      </c>
      <c r="H247">
        <v>24</v>
      </c>
      <c r="I247">
        <v>39.99</v>
      </c>
      <c r="J247">
        <v>6.65</v>
      </c>
      <c r="K247">
        <v>3</v>
      </c>
      <c r="L247" t="str">
        <f>IF(tblTickets[[#This Row],[SLA Target (hrs)]]&gt;=tblTickets[[#This Row],[Actual Resolution Time (hrs)]],"Yes","No")</f>
        <v>No</v>
      </c>
      <c r="M247">
        <f>(tblTickets[[#This Row],[Resolved Date]]-tblTickets[[#This Row],[Created Date]])*24</f>
        <v>39.990000000048894</v>
      </c>
      <c r="N247" t="str">
        <f>IF(tblTickets[[#This Row],[Customer Satisfaction]]&gt;=4,"Satisfied",IF(tblTickets[[#This Row],[Customer Satisfaction]]=3,"Neutral","Dissatisfied"))</f>
        <v>Neutral</v>
      </c>
    </row>
    <row r="248" spans="1:14" x14ac:dyDescent="0.35">
      <c r="A248" t="s">
        <v>259</v>
      </c>
      <c r="B248" s="3">
        <v>45736</v>
      </c>
      <c r="C248" s="3">
        <v>45737.687083333331</v>
      </c>
      <c r="D248" t="s">
        <v>30</v>
      </c>
      <c r="E248" t="s">
        <v>17</v>
      </c>
      <c r="F248" t="s">
        <v>41</v>
      </c>
      <c r="G248" t="s">
        <v>15</v>
      </c>
      <c r="H248">
        <v>24</v>
      </c>
      <c r="I248">
        <v>40.49</v>
      </c>
      <c r="J248">
        <v>3.3</v>
      </c>
      <c r="K248">
        <v>3</v>
      </c>
      <c r="L248" t="str">
        <f>IF(tblTickets[[#This Row],[SLA Target (hrs)]]&gt;=tblTickets[[#This Row],[Actual Resolution Time (hrs)]],"Yes","No")</f>
        <v>No</v>
      </c>
      <c r="M248">
        <f>(tblTickets[[#This Row],[Resolved Date]]-tblTickets[[#This Row],[Created Date]])*24</f>
        <v>40.489999999932479</v>
      </c>
      <c r="N248" t="str">
        <f>IF(tblTickets[[#This Row],[Customer Satisfaction]]&gt;=4,"Satisfied",IF(tblTickets[[#This Row],[Customer Satisfaction]]=3,"Neutral","Dissatisfied"))</f>
        <v>Neutral</v>
      </c>
    </row>
    <row r="249" spans="1:14" x14ac:dyDescent="0.35">
      <c r="A249" t="s">
        <v>53</v>
      </c>
      <c r="B249" s="3">
        <v>45666</v>
      </c>
      <c r="C249" s="3">
        <v>45667.69458333333</v>
      </c>
      <c r="D249" t="s">
        <v>34</v>
      </c>
      <c r="E249" t="s">
        <v>19</v>
      </c>
      <c r="F249" t="s">
        <v>45</v>
      </c>
      <c r="G249" t="s">
        <v>26</v>
      </c>
      <c r="H249">
        <v>24</v>
      </c>
      <c r="I249">
        <v>40.67</v>
      </c>
      <c r="J249">
        <v>1.1100000000000001</v>
      </c>
      <c r="K249">
        <v>3</v>
      </c>
      <c r="L249" t="str">
        <f>IF(tblTickets[[#This Row],[SLA Target (hrs)]]&gt;=tblTickets[[#This Row],[Actual Resolution Time (hrs)]],"Yes","No")</f>
        <v>No</v>
      </c>
      <c r="M249">
        <f>(tblTickets[[#This Row],[Resolved Date]]-tblTickets[[#This Row],[Created Date]])*24</f>
        <v>40.669999999925494</v>
      </c>
      <c r="N249" t="str">
        <f>IF(tblTickets[[#This Row],[Customer Satisfaction]]&gt;=4,"Satisfied",IF(tblTickets[[#This Row],[Customer Satisfaction]]=3,"Neutral","Dissatisfied"))</f>
        <v>Neutral</v>
      </c>
    </row>
    <row r="250" spans="1:14" x14ac:dyDescent="0.35">
      <c r="A250" t="s">
        <v>230</v>
      </c>
      <c r="B250" s="3">
        <v>45737</v>
      </c>
      <c r="C250" s="3">
        <v>45738.707083333327</v>
      </c>
      <c r="D250" t="s">
        <v>34</v>
      </c>
      <c r="E250" t="s">
        <v>40</v>
      </c>
      <c r="F250" t="s">
        <v>20</v>
      </c>
      <c r="G250" t="s">
        <v>15</v>
      </c>
      <c r="H250">
        <v>8</v>
      </c>
      <c r="I250">
        <v>40.97</v>
      </c>
      <c r="J250">
        <v>5.58</v>
      </c>
      <c r="K250">
        <v>3</v>
      </c>
      <c r="L250" t="str">
        <f>IF(tblTickets[[#This Row],[SLA Target (hrs)]]&gt;=tblTickets[[#This Row],[Actual Resolution Time (hrs)]],"Yes","No")</f>
        <v>No</v>
      </c>
      <c r="M250">
        <f>(tblTickets[[#This Row],[Resolved Date]]-tblTickets[[#This Row],[Created Date]])*24</f>
        <v>40.969999999855645</v>
      </c>
      <c r="N250" t="str">
        <f>IF(tblTickets[[#This Row],[Customer Satisfaction]]&gt;=4,"Satisfied",IF(tblTickets[[#This Row],[Customer Satisfaction]]=3,"Neutral","Dissatisfied"))</f>
        <v>Neutral</v>
      </c>
    </row>
    <row r="251" spans="1:14" x14ac:dyDescent="0.35">
      <c r="A251" t="s">
        <v>299</v>
      </c>
      <c r="B251" s="3">
        <v>45735</v>
      </c>
      <c r="C251" s="3">
        <v>45736.759583333333</v>
      </c>
      <c r="D251" t="s">
        <v>23</v>
      </c>
      <c r="E251" t="s">
        <v>19</v>
      </c>
      <c r="F251" t="s">
        <v>25</v>
      </c>
      <c r="G251" t="s">
        <v>21</v>
      </c>
      <c r="H251">
        <v>24</v>
      </c>
      <c r="I251">
        <v>42.23</v>
      </c>
      <c r="J251">
        <v>5.72</v>
      </c>
      <c r="K251">
        <v>3</v>
      </c>
      <c r="L251" t="str">
        <f>IF(tblTickets[[#This Row],[SLA Target (hrs)]]&gt;=tblTickets[[#This Row],[Actual Resolution Time (hrs)]],"Yes","No")</f>
        <v>No</v>
      </c>
      <c r="M251">
        <f>(tblTickets[[#This Row],[Resolved Date]]-tblTickets[[#This Row],[Created Date]])*24</f>
        <v>42.229999999981374</v>
      </c>
      <c r="N251" t="str">
        <f>IF(tblTickets[[#This Row],[Customer Satisfaction]]&gt;=4,"Satisfied",IF(tblTickets[[#This Row],[Customer Satisfaction]]=3,"Neutral","Dissatisfied"))</f>
        <v>Neutral</v>
      </c>
    </row>
    <row r="252" spans="1:14" x14ac:dyDescent="0.35">
      <c r="A252" t="s">
        <v>379</v>
      </c>
      <c r="B252" s="3">
        <v>45697</v>
      </c>
      <c r="C252" s="3">
        <v>45698.783750000002</v>
      </c>
      <c r="D252" t="s">
        <v>12</v>
      </c>
      <c r="E252" t="s">
        <v>17</v>
      </c>
      <c r="F252" t="s">
        <v>25</v>
      </c>
      <c r="G252" t="s">
        <v>21</v>
      </c>
      <c r="H252">
        <v>4</v>
      </c>
      <c r="I252">
        <v>42.81</v>
      </c>
      <c r="J252">
        <v>1.48</v>
      </c>
      <c r="K252">
        <v>3</v>
      </c>
      <c r="L252" t="str">
        <f>IF(tblTickets[[#This Row],[SLA Target (hrs)]]&gt;=tblTickets[[#This Row],[Actual Resolution Time (hrs)]],"Yes","No")</f>
        <v>No</v>
      </c>
      <c r="M252">
        <f>(tblTickets[[#This Row],[Resolved Date]]-tblTickets[[#This Row],[Created Date]])*24</f>
        <v>42.810000000055879</v>
      </c>
      <c r="N252" t="str">
        <f>IF(tblTickets[[#This Row],[Customer Satisfaction]]&gt;=4,"Satisfied",IF(tblTickets[[#This Row],[Customer Satisfaction]]=3,"Neutral","Dissatisfied"))</f>
        <v>Neutral</v>
      </c>
    </row>
    <row r="253" spans="1:14" x14ac:dyDescent="0.35">
      <c r="A253" t="s">
        <v>117</v>
      </c>
      <c r="B253" s="3">
        <v>45677</v>
      </c>
      <c r="C253" s="3">
        <v>45678.806250000001</v>
      </c>
      <c r="D253" t="s">
        <v>34</v>
      </c>
      <c r="E253" t="s">
        <v>17</v>
      </c>
      <c r="F253" t="s">
        <v>45</v>
      </c>
      <c r="G253" t="s">
        <v>21</v>
      </c>
      <c r="H253">
        <v>4</v>
      </c>
      <c r="I253">
        <v>43.35</v>
      </c>
      <c r="J253">
        <v>7.04</v>
      </c>
      <c r="K253">
        <v>3</v>
      </c>
      <c r="L253" t="str">
        <f>IF(tblTickets[[#This Row],[SLA Target (hrs)]]&gt;=tblTickets[[#This Row],[Actual Resolution Time (hrs)]],"Yes","No")</f>
        <v>No</v>
      </c>
      <c r="M253">
        <f>(tblTickets[[#This Row],[Resolved Date]]-tblTickets[[#This Row],[Created Date]])*24</f>
        <v>43.350000000034925</v>
      </c>
      <c r="N253" t="str">
        <f>IF(tblTickets[[#This Row],[Customer Satisfaction]]&gt;=4,"Satisfied",IF(tblTickets[[#This Row],[Customer Satisfaction]]=3,"Neutral","Dissatisfied"))</f>
        <v>Neutral</v>
      </c>
    </row>
    <row r="254" spans="1:14" x14ac:dyDescent="0.35">
      <c r="A254" t="s">
        <v>218</v>
      </c>
      <c r="B254" s="3">
        <v>45725</v>
      </c>
      <c r="C254" s="3">
        <v>45726.894583333327</v>
      </c>
      <c r="D254" t="s">
        <v>34</v>
      </c>
      <c r="E254" t="s">
        <v>13</v>
      </c>
      <c r="F254" t="s">
        <v>14</v>
      </c>
      <c r="G254" t="s">
        <v>26</v>
      </c>
      <c r="H254">
        <v>4</v>
      </c>
      <c r="I254">
        <v>45.47</v>
      </c>
      <c r="J254">
        <v>2.48</v>
      </c>
      <c r="K254">
        <v>3</v>
      </c>
      <c r="L254" t="str">
        <f>IF(tblTickets[[#This Row],[SLA Target (hrs)]]&gt;=tblTickets[[#This Row],[Actual Resolution Time (hrs)]],"Yes","No")</f>
        <v>No</v>
      </c>
      <c r="M254">
        <f>(tblTickets[[#This Row],[Resolved Date]]-tblTickets[[#This Row],[Created Date]])*24</f>
        <v>45.469999999855645</v>
      </c>
      <c r="N254" t="str">
        <f>IF(tblTickets[[#This Row],[Customer Satisfaction]]&gt;=4,"Satisfied",IF(tblTickets[[#This Row],[Customer Satisfaction]]=3,"Neutral","Dissatisfied"))</f>
        <v>Neutral</v>
      </c>
    </row>
    <row r="255" spans="1:14" x14ac:dyDescent="0.35">
      <c r="A255" t="s">
        <v>482</v>
      </c>
      <c r="B255" s="3">
        <v>45681</v>
      </c>
      <c r="C255" s="3">
        <v>45682.900416666656</v>
      </c>
      <c r="D255" t="s">
        <v>12</v>
      </c>
      <c r="E255" t="s">
        <v>40</v>
      </c>
      <c r="F255" t="s">
        <v>25</v>
      </c>
      <c r="G255" t="s">
        <v>15</v>
      </c>
      <c r="H255">
        <v>8</v>
      </c>
      <c r="I255">
        <v>45.61</v>
      </c>
      <c r="J255">
        <v>6.26</v>
      </c>
      <c r="K255">
        <v>3</v>
      </c>
      <c r="L255" t="str">
        <f>IF(tblTickets[[#This Row],[SLA Target (hrs)]]&gt;=tblTickets[[#This Row],[Actual Resolution Time (hrs)]],"Yes","No")</f>
        <v>No</v>
      </c>
      <c r="M255">
        <f>(tblTickets[[#This Row],[Resolved Date]]-tblTickets[[#This Row],[Created Date]])*24</f>
        <v>45.6099999997532</v>
      </c>
      <c r="N255" t="str">
        <f>IF(tblTickets[[#This Row],[Customer Satisfaction]]&gt;=4,"Satisfied",IF(tblTickets[[#This Row],[Customer Satisfaction]]=3,"Neutral","Dissatisfied"))</f>
        <v>Neutral</v>
      </c>
    </row>
    <row r="256" spans="1:14" x14ac:dyDescent="0.35">
      <c r="A256" t="s">
        <v>370</v>
      </c>
      <c r="B256" s="3">
        <v>45722</v>
      </c>
      <c r="C256" s="3">
        <v>45723.962916666656</v>
      </c>
      <c r="D256" t="s">
        <v>30</v>
      </c>
      <c r="E256" t="s">
        <v>17</v>
      </c>
      <c r="F256" t="s">
        <v>25</v>
      </c>
      <c r="G256" t="s">
        <v>21</v>
      </c>
      <c r="H256">
        <v>24</v>
      </c>
      <c r="I256">
        <v>47.11</v>
      </c>
      <c r="J256">
        <v>0.84</v>
      </c>
      <c r="K256">
        <v>3</v>
      </c>
      <c r="L256" t="str">
        <f>IF(tblTickets[[#This Row],[SLA Target (hrs)]]&gt;=tblTickets[[#This Row],[Actual Resolution Time (hrs)]],"Yes","No")</f>
        <v>No</v>
      </c>
      <c r="M256">
        <f>(tblTickets[[#This Row],[Resolved Date]]-tblTickets[[#This Row],[Created Date]])*24</f>
        <v>47.1099999997532</v>
      </c>
      <c r="N256" t="str">
        <f>IF(tblTickets[[#This Row],[Customer Satisfaction]]&gt;=4,"Satisfied",IF(tblTickets[[#This Row],[Customer Satisfaction]]=3,"Neutral","Dissatisfied"))</f>
        <v>Neutral</v>
      </c>
    </row>
    <row r="257" spans="1:14" x14ac:dyDescent="0.35">
      <c r="A257" t="s">
        <v>520</v>
      </c>
      <c r="B257" s="3">
        <v>45719</v>
      </c>
      <c r="C257" s="3">
        <v>45720.994166666656</v>
      </c>
      <c r="D257" t="s">
        <v>12</v>
      </c>
      <c r="E257" t="s">
        <v>40</v>
      </c>
      <c r="F257" t="s">
        <v>25</v>
      </c>
      <c r="G257" t="s">
        <v>26</v>
      </c>
      <c r="H257">
        <v>24</v>
      </c>
      <c r="I257">
        <v>47.86</v>
      </c>
      <c r="J257">
        <v>3.9</v>
      </c>
      <c r="K257">
        <v>3</v>
      </c>
      <c r="L257" t="str">
        <f>IF(tblTickets[[#This Row],[SLA Target (hrs)]]&gt;=tblTickets[[#This Row],[Actual Resolution Time (hrs)]],"Yes","No")</f>
        <v>No</v>
      </c>
      <c r="M257">
        <f>(tblTickets[[#This Row],[Resolved Date]]-tblTickets[[#This Row],[Created Date]])*24</f>
        <v>47.8599999997532</v>
      </c>
      <c r="N257" t="str">
        <f>IF(tblTickets[[#This Row],[Customer Satisfaction]]&gt;=4,"Satisfied",IF(tblTickets[[#This Row],[Customer Satisfaction]]=3,"Neutral","Dissatisfied"))</f>
        <v>Neutral</v>
      </c>
    </row>
    <row r="258" spans="1:14" x14ac:dyDescent="0.35">
      <c r="A258" t="s">
        <v>124</v>
      </c>
      <c r="B258" s="3">
        <v>45741</v>
      </c>
      <c r="C258" s="3">
        <v>45742.997916666667</v>
      </c>
      <c r="D258" t="s">
        <v>34</v>
      </c>
      <c r="E258" t="s">
        <v>13</v>
      </c>
      <c r="F258" t="s">
        <v>41</v>
      </c>
      <c r="G258" t="s">
        <v>21</v>
      </c>
      <c r="H258">
        <v>8</v>
      </c>
      <c r="I258">
        <v>47.95</v>
      </c>
      <c r="J258">
        <v>2.1</v>
      </c>
      <c r="K258">
        <v>3</v>
      </c>
      <c r="L258" t="str">
        <f>IF(tblTickets[[#This Row],[SLA Target (hrs)]]&gt;=tblTickets[[#This Row],[Actual Resolution Time (hrs)]],"Yes","No")</f>
        <v>No</v>
      </c>
      <c r="M258">
        <f>(tblTickets[[#This Row],[Resolved Date]]-tblTickets[[#This Row],[Created Date]])*24</f>
        <v>47.950000000011642</v>
      </c>
      <c r="N258" t="str">
        <f>IF(tblTickets[[#This Row],[Customer Satisfaction]]&gt;=4,"Satisfied",IF(tblTickets[[#This Row],[Customer Satisfaction]]=3,"Neutral","Dissatisfied"))</f>
        <v>Neutral</v>
      </c>
    </row>
    <row r="259" spans="1:14" x14ac:dyDescent="0.35">
      <c r="A259" t="s">
        <v>455</v>
      </c>
      <c r="B259" s="3">
        <v>45706</v>
      </c>
      <c r="C259" s="3">
        <v>45706.279166666667</v>
      </c>
      <c r="D259" t="s">
        <v>23</v>
      </c>
      <c r="E259" t="s">
        <v>19</v>
      </c>
      <c r="F259" t="s">
        <v>20</v>
      </c>
      <c r="G259" t="s">
        <v>21</v>
      </c>
      <c r="H259">
        <v>4</v>
      </c>
      <c r="I259">
        <v>6.7</v>
      </c>
      <c r="J259">
        <v>4.74</v>
      </c>
      <c r="K259">
        <v>3</v>
      </c>
      <c r="L259" t="str">
        <f>IF(tblTickets[[#This Row],[SLA Target (hrs)]]&gt;=tblTickets[[#This Row],[Actual Resolution Time (hrs)]],"Yes","No")</f>
        <v>No</v>
      </c>
      <c r="M259">
        <f>(tblTickets[[#This Row],[Resolved Date]]-tblTickets[[#This Row],[Created Date]])*24</f>
        <v>6.7000000000116415</v>
      </c>
      <c r="N259" t="str">
        <f>IF(tblTickets[[#This Row],[Customer Satisfaction]]&gt;=4,"Satisfied",IF(tblTickets[[#This Row],[Customer Satisfaction]]=3,"Neutral","Dissatisfied"))</f>
        <v>Neutral</v>
      </c>
    </row>
    <row r="260" spans="1:14" x14ac:dyDescent="0.35">
      <c r="A260" t="s">
        <v>151</v>
      </c>
      <c r="B260" s="3">
        <v>45666</v>
      </c>
      <c r="C260" s="3">
        <v>45666.309166666673</v>
      </c>
      <c r="D260" t="s">
        <v>12</v>
      </c>
      <c r="E260" t="s">
        <v>13</v>
      </c>
      <c r="F260" t="s">
        <v>25</v>
      </c>
      <c r="G260" t="s">
        <v>21</v>
      </c>
      <c r="H260">
        <v>4</v>
      </c>
      <c r="I260">
        <v>7.42</v>
      </c>
      <c r="J260">
        <v>5.13</v>
      </c>
      <c r="K260">
        <v>3</v>
      </c>
      <c r="L260" t="str">
        <f>IF(tblTickets[[#This Row],[SLA Target (hrs)]]&gt;=tblTickets[[#This Row],[Actual Resolution Time (hrs)]],"Yes","No")</f>
        <v>No</v>
      </c>
      <c r="M260">
        <f>(tblTickets[[#This Row],[Resolved Date]]-tblTickets[[#This Row],[Created Date]])*24</f>
        <v>7.4200000001583248</v>
      </c>
      <c r="N260" t="str">
        <f>IF(tblTickets[[#This Row],[Customer Satisfaction]]&gt;=4,"Satisfied",IF(tblTickets[[#This Row],[Customer Satisfaction]]=3,"Neutral","Dissatisfied"))</f>
        <v>Neutral</v>
      </c>
    </row>
    <row r="261" spans="1:14" x14ac:dyDescent="0.35">
      <c r="A261" t="s">
        <v>505</v>
      </c>
      <c r="B261" s="3">
        <v>45739</v>
      </c>
      <c r="C261" s="3">
        <v>45739.395833333343</v>
      </c>
      <c r="D261" t="s">
        <v>34</v>
      </c>
      <c r="E261" t="s">
        <v>19</v>
      </c>
      <c r="F261" t="s">
        <v>20</v>
      </c>
      <c r="G261" t="s">
        <v>15</v>
      </c>
      <c r="H261">
        <v>4</v>
      </c>
      <c r="I261">
        <v>9.5</v>
      </c>
      <c r="J261">
        <v>3.3</v>
      </c>
      <c r="K261">
        <v>3</v>
      </c>
      <c r="L261" t="str">
        <f>IF(tblTickets[[#This Row],[SLA Target (hrs)]]&gt;=tblTickets[[#This Row],[Actual Resolution Time (hrs)]],"Yes","No")</f>
        <v>No</v>
      </c>
      <c r="M261">
        <f>(tblTickets[[#This Row],[Resolved Date]]-tblTickets[[#This Row],[Created Date]])*24</f>
        <v>9.5000000002328306</v>
      </c>
      <c r="N261" t="str">
        <f>IF(tblTickets[[#This Row],[Customer Satisfaction]]&gt;=4,"Satisfied",IF(tblTickets[[#This Row],[Customer Satisfaction]]=3,"Neutral","Dissatisfied"))</f>
        <v>Neutral</v>
      </c>
    </row>
    <row r="262" spans="1:14" x14ac:dyDescent="0.35">
      <c r="A262" t="s">
        <v>178</v>
      </c>
      <c r="B262" s="3">
        <v>45673</v>
      </c>
      <c r="C262" s="3">
        <v>45673.401666666658</v>
      </c>
      <c r="D262" t="s">
        <v>30</v>
      </c>
      <c r="E262" t="s">
        <v>17</v>
      </c>
      <c r="F262" t="s">
        <v>45</v>
      </c>
      <c r="G262" t="s">
        <v>26</v>
      </c>
      <c r="H262">
        <v>4</v>
      </c>
      <c r="I262">
        <v>9.64</v>
      </c>
      <c r="J262">
        <v>3.15</v>
      </c>
      <c r="K262">
        <v>3</v>
      </c>
      <c r="L262" t="str">
        <f>IF(tblTickets[[#This Row],[SLA Target (hrs)]]&gt;=tblTickets[[#This Row],[Actual Resolution Time (hrs)]],"Yes","No")</f>
        <v>No</v>
      </c>
      <c r="M262">
        <f>(tblTickets[[#This Row],[Resolved Date]]-tblTickets[[#This Row],[Created Date]])*24</f>
        <v>9.6399999997811392</v>
      </c>
      <c r="N262" t="str">
        <f>IF(tblTickets[[#This Row],[Customer Satisfaction]]&gt;=4,"Satisfied",IF(tblTickets[[#This Row],[Customer Satisfaction]]=3,"Neutral","Dissatisfied"))</f>
        <v>Neutral</v>
      </c>
    </row>
    <row r="263" spans="1:14" x14ac:dyDescent="0.35">
      <c r="A263" t="s">
        <v>453</v>
      </c>
      <c r="B263" s="3">
        <v>45700</v>
      </c>
      <c r="C263" s="3">
        <v>45700.414166666669</v>
      </c>
      <c r="D263" t="s">
        <v>34</v>
      </c>
      <c r="E263" t="s">
        <v>40</v>
      </c>
      <c r="F263" t="s">
        <v>14</v>
      </c>
      <c r="G263" t="s">
        <v>26</v>
      </c>
      <c r="H263">
        <v>8</v>
      </c>
      <c r="I263">
        <v>9.94</v>
      </c>
      <c r="J263">
        <v>3.09</v>
      </c>
      <c r="K263">
        <v>3</v>
      </c>
      <c r="L263" t="str">
        <f>IF(tblTickets[[#This Row],[SLA Target (hrs)]]&gt;=tblTickets[[#This Row],[Actual Resolution Time (hrs)]],"Yes","No")</f>
        <v>No</v>
      </c>
      <c r="M263">
        <f>(tblTickets[[#This Row],[Resolved Date]]-tblTickets[[#This Row],[Created Date]])*24</f>
        <v>9.940000000060536</v>
      </c>
      <c r="N263" t="str">
        <f>IF(tblTickets[[#This Row],[Customer Satisfaction]]&gt;=4,"Satisfied",IF(tblTickets[[#This Row],[Customer Satisfaction]]=3,"Neutral","Dissatisfied"))</f>
        <v>Neutral</v>
      </c>
    </row>
    <row r="264" spans="1:14" x14ac:dyDescent="0.35">
      <c r="A264" t="s">
        <v>312</v>
      </c>
      <c r="B264" s="3">
        <v>45748</v>
      </c>
      <c r="C264" s="3">
        <v>45748.427916666667</v>
      </c>
      <c r="D264" t="s">
        <v>12</v>
      </c>
      <c r="E264" t="s">
        <v>17</v>
      </c>
      <c r="F264" t="s">
        <v>20</v>
      </c>
      <c r="G264" t="s">
        <v>26</v>
      </c>
      <c r="H264">
        <v>4</v>
      </c>
      <c r="I264">
        <v>10.27</v>
      </c>
      <c r="J264">
        <v>4.29</v>
      </c>
      <c r="K264">
        <v>3</v>
      </c>
      <c r="L264" t="str">
        <f>IF(tblTickets[[#This Row],[SLA Target (hrs)]]&gt;=tblTickets[[#This Row],[Actual Resolution Time (hrs)]],"Yes","No")</f>
        <v>No</v>
      </c>
      <c r="M264">
        <f>(tblTickets[[#This Row],[Resolved Date]]-tblTickets[[#This Row],[Created Date]])*24</f>
        <v>10.270000000018626</v>
      </c>
      <c r="N264" t="str">
        <f>IF(tblTickets[[#This Row],[Customer Satisfaction]]&gt;=4,"Satisfied",IF(tblTickets[[#This Row],[Customer Satisfaction]]=3,"Neutral","Dissatisfied"))</f>
        <v>Neutral</v>
      </c>
    </row>
    <row r="265" spans="1:14" x14ac:dyDescent="0.35">
      <c r="A265" t="s">
        <v>214</v>
      </c>
      <c r="B265" s="3">
        <v>45721</v>
      </c>
      <c r="C265" s="3">
        <v>45721.489583333343</v>
      </c>
      <c r="D265" t="s">
        <v>34</v>
      </c>
      <c r="E265" t="s">
        <v>19</v>
      </c>
      <c r="F265" t="s">
        <v>41</v>
      </c>
      <c r="G265" t="s">
        <v>26</v>
      </c>
      <c r="H265">
        <v>8</v>
      </c>
      <c r="I265">
        <v>11.75</v>
      </c>
      <c r="J265">
        <v>7.06</v>
      </c>
      <c r="K265">
        <v>3</v>
      </c>
      <c r="L265" t="str">
        <f>IF(tblTickets[[#This Row],[SLA Target (hrs)]]&gt;=tblTickets[[#This Row],[Actual Resolution Time (hrs)]],"Yes","No")</f>
        <v>No</v>
      </c>
      <c r="M265">
        <f>(tblTickets[[#This Row],[Resolved Date]]-tblTickets[[#This Row],[Created Date]])*24</f>
        <v>11.750000000232831</v>
      </c>
      <c r="N265" t="str">
        <f>IF(tblTickets[[#This Row],[Customer Satisfaction]]&gt;=4,"Satisfied",IF(tblTickets[[#This Row],[Customer Satisfaction]]=3,"Neutral","Dissatisfied"))</f>
        <v>Neutral</v>
      </c>
    </row>
    <row r="266" spans="1:14" x14ac:dyDescent="0.35">
      <c r="A266" t="s">
        <v>399</v>
      </c>
      <c r="B266" s="3">
        <v>45722</v>
      </c>
      <c r="C266" s="3">
        <v>45722.501250000001</v>
      </c>
      <c r="D266" t="s">
        <v>34</v>
      </c>
      <c r="E266" t="s">
        <v>19</v>
      </c>
      <c r="F266" t="s">
        <v>20</v>
      </c>
      <c r="G266" t="s">
        <v>21</v>
      </c>
      <c r="H266">
        <v>8</v>
      </c>
      <c r="I266">
        <v>12.03</v>
      </c>
      <c r="J266">
        <v>1.43</v>
      </c>
      <c r="K266">
        <v>3</v>
      </c>
      <c r="L266" t="str">
        <f>IF(tblTickets[[#This Row],[SLA Target (hrs)]]&gt;=tblTickets[[#This Row],[Actual Resolution Time (hrs)]],"Yes","No")</f>
        <v>No</v>
      </c>
      <c r="M266">
        <f>(tblTickets[[#This Row],[Resolved Date]]-tblTickets[[#This Row],[Created Date]])*24</f>
        <v>12.03000000002794</v>
      </c>
      <c r="N266" t="str">
        <f>IF(tblTickets[[#This Row],[Customer Satisfaction]]&gt;=4,"Satisfied",IF(tblTickets[[#This Row],[Customer Satisfaction]]=3,"Neutral","Dissatisfied"))</f>
        <v>Neutral</v>
      </c>
    </row>
    <row r="267" spans="1:14" x14ac:dyDescent="0.35">
      <c r="A267" t="s">
        <v>57</v>
      </c>
      <c r="B267" s="3">
        <v>45685</v>
      </c>
      <c r="C267" s="3">
        <v>45685.503750000003</v>
      </c>
      <c r="D267" t="s">
        <v>23</v>
      </c>
      <c r="E267" t="s">
        <v>40</v>
      </c>
      <c r="F267" t="s">
        <v>14</v>
      </c>
      <c r="G267" t="s">
        <v>26</v>
      </c>
      <c r="H267">
        <v>8</v>
      </c>
      <c r="I267">
        <v>12.09</v>
      </c>
      <c r="J267">
        <v>5.17</v>
      </c>
      <c r="K267">
        <v>3</v>
      </c>
      <c r="L267" t="str">
        <f>IF(tblTickets[[#This Row],[SLA Target (hrs)]]&gt;=tblTickets[[#This Row],[Actual Resolution Time (hrs)]],"Yes","No")</f>
        <v>No</v>
      </c>
      <c r="M267">
        <f>(tblTickets[[#This Row],[Resolved Date]]-tblTickets[[#This Row],[Created Date]])*24</f>
        <v>12.090000000083819</v>
      </c>
      <c r="N267" t="str">
        <f>IF(tblTickets[[#This Row],[Customer Satisfaction]]&gt;=4,"Satisfied",IF(tblTickets[[#This Row],[Customer Satisfaction]]=3,"Neutral","Dissatisfied"))</f>
        <v>Neutral</v>
      </c>
    </row>
    <row r="268" spans="1:14" x14ac:dyDescent="0.35">
      <c r="A268" t="s">
        <v>364</v>
      </c>
      <c r="B268" s="3">
        <v>45736</v>
      </c>
      <c r="C268" s="3">
        <v>45736.511250000003</v>
      </c>
      <c r="D268" t="s">
        <v>34</v>
      </c>
      <c r="E268" t="s">
        <v>19</v>
      </c>
      <c r="F268" t="s">
        <v>25</v>
      </c>
      <c r="G268" t="s">
        <v>21</v>
      </c>
      <c r="H268">
        <v>8</v>
      </c>
      <c r="I268">
        <v>12.27</v>
      </c>
      <c r="J268">
        <v>1.61</v>
      </c>
      <c r="K268">
        <v>3</v>
      </c>
      <c r="L268" t="str">
        <f>IF(tblTickets[[#This Row],[SLA Target (hrs)]]&gt;=tblTickets[[#This Row],[Actual Resolution Time (hrs)]],"Yes","No")</f>
        <v>No</v>
      </c>
      <c r="M268">
        <f>(tblTickets[[#This Row],[Resolved Date]]-tblTickets[[#This Row],[Created Date]])*24</f>
        <v>12.270000000076834</v>
      </c>
      <c r="N268" t="str">
        <f>IF(tblTickets[[#This Row],[Customer Satisfaction]]&gt;=4,"Satisfied",IF(tblTickets[[#This Row],[Customer Satisfaction]]=3,"Neutral","Dissatisfied"))</f>
        <v>Neutral</v>
      </c>
    </row>
    <row r="269" spans="1:14" x14ac:dyDescent="0.35">
      <c r="A269" t="s">
        <v>360</v>
      </c>
      <c r="B269" s="3">
        <v>45743</v>
      </c>
      <c r="C269" s="3">
        <v>45743.540833333333</v>
      </c>
      <c r="D269" t="s">
        <v>30</v>
      </c>
      <c r="E269" t="s">
        <v>13</v>
      </c>
      <c r="F269" t="s">
        <v>25</v>
      </c>
      <c r="G269" t="s">
        <v>26</v>
      </c>
      <c r="H269">
        <v>8</v>
      </c>
      <c r="I269">
        <v>12.98</v>
      </c>
      <c r="J269">
        <v>4.79</v>
      </c>
      <c r="K269">
        <v>3</v>
      </c>
      <c r="L269" t="str">
        <f>IF(tblTickets[[#This Row],[SLA Target (hrs)]]&gt;=tblTickets[[#This Row],[Actual Resolution Time (hrs)]],"Yes","No")</f>
        <v>No</v>
      </c>
      <c r="M269">
        <f>(tblTickets[[#This Row],[Resolved Date]]-tblTickets[[#This Row],[Created Date]])*24</f>
        <v>12.979999999981374</v>
      </c>
      <c r="N269" t="str">
        <f>IF(tblTickets[[#This Row],[Customer Satisfaction]]&gt;=4,"Satisfied",IF(tblTickets[[#This Row],[Customer Satisfaction]]=3,"Neutral","Dissatisfied"))</f>
        <v>Neutral</v>
      </c>
    </row>
    <row r="270" spans="1:14" x14ac:dyDescent="0.35">
      <c r="A270" t="s">
        <v>239</v>
      </c>
      <c r="B270" s="3">
        <v>45746</v>
      </c>
      <c r="C270" s="3">
        <v>45746.546666666669</v>
      </c>
      <c r="D270" t="s">
        <v>34</v>
      </c>
      <c r="E270" t="s">
        <v>17</v>
      </c>
      <c r="F270" t="s">
        <v>14</v>
      </c>
      <c r="G270" t="s">
        <v>21</v>
      </c>
      <c r="H270">
        <v>8</v>
      </c>
      <c r="I270">
        <v>13.12</v>
      </c>
      <c r="J270">
        <v>3.15</v>
      </c>
      <c r="K270">
        <v>3</v>
      </c>
      <c r="L270" t="str">
        <f>IF(tblTickets[[#This Row],[SLA Target (hrs)]]&gt;=tblTickets[[#This Row],[Actual Resolution Time (hrs)]],"Yes","No")</f>
        <v>No</v>
      </c>
      <c r="M270">
        <f>(tblTickets[[#This Row],[Resolved Date]]-tblTickets[[#This Row],[Created Date]])*24</f>
        <v>13.120000000053551</v>
      </c>
      <c r="N270" t="str">
        <f>IF(tblTickets[[#This Row],[Customer Satisfaction]]&gt;=4,"Satisfied",IF(tblTickets[[#This Row],[Customer Satisfaction]]=3,"Neutral","Dissatisfied"))</f>
        <v>Neutral</v>
      </c>
    </row>
    <row r="271" spans="1:14" x14ac:dyDescent="0.35">
      <c r="A271" t="s">
        <v>471</v>
      </c>
      <c r="B271" s="3">
        <v>45708</v>
      </c>
      <c r="C271" s="3">
        <v>45708.707916666674</v>
      </c>
      <c r="D271" t="s">
        <v>23</v>
      </c>
      <c r="E271" t="s">
        <v>13</v>
      </c>
      <c r="F271" t="s">
        <v>14</v>
      </c>
      <c r="G271" t="s">
        <v>21</v>
      </c>
      <c r="H271">
        <v>4</v>
      </c>
      <c r="I271">
        <v>16.989999999999998</v>
      </c>
      <c r="J271">
        <v>4.3499999999999996</v>
      </c>
      <c r="K271">
        <v>3</v>
      </c>
      <c r="L271" t="str">
        <f>IF(tblTickets[[#This Row],[SLA Target (hrs)]]&gt;=tblTickets[[#This Row],[Actual Resolution Time (hrs)]],"Yes","No")</f>
        <v>No</v>
      </c>
      <c r="M271">
        <f>(tblTickets[[#This Row],[Resolved Date]]-tblTickets[[#This Row],[Created Date]])*24</f>
        <v>16.99000000016531</v>
      </c>
      <c r="N271" t="str">
        <f>IF(tblTickets[[#This Row],[Customer Satisfaction]]&gt;=4,"Satisfied",IF(tblTickets[[#This Row],[Customer Satisfaction]]=3,"Neutral","Dissatisfied"))</f>
        <v>Neutral</v>
      </c>
    </row>
    <row r="272" spans="1:14" x14ac:dyDescent="0.35">
      <c r="A272" t="s">
        <v>486</v>
      </c>
      <c r="B272" s="3">
        <v>45672</v>
      </c>
      <c r="C272" s="3">
        <v>45672.712083333332</v>
      </c>
      <c r="D272" t="s">
        <v>12</v>
      </c>
      <c r="E272" t="s">
        <v>40</v>
      </c>
      <c r="F272" t="s">
        <v>41</v>
      </c>
      <c r="G272" t="s">
        <v>21</v>
      </c>
      <c r="H272">
        <v>4</v>
      </c>
      <c r="I272">
        <v>17.09</v>
      </c>
      <c r="J272">
        <v>3.2</v>
      </c>
      <c r="K272">
        <v>3</v>
      </c>
      <c r="L272" t="str">
        <f>IF(tblTickets[[#This Row],[SLA Target (hrs)]]&gt;=tblTickets[[#This Row],[Actual Resolution Time (hrs)]],"Yes","No")</f>
        <v>No</v>
      </c>
      <c r="M272">
        <f>(tblTickets[[#This Row],[Resolved Date]]-tblTickets[[#This Row],[Created Date]])*24</f>
        <v>17.089999999967404</v>
      </c>
      <c r="N272" t="str">
        <f>IF(tblTickets[[#This Row],[Customer Satisfaction]]&gt;=4,"Satisfied",IF(tblTickets[[#This Row],[Customer Satisfaction]]=3,"Neutral","Dissatisfied"))</f>
        <v>Neutral</v>
      </c>
    </row>
    <row r="273" spans="1:14" x14ac:dyDescent="0.35">
      <c r="A273" t="s">
        <v>317</v>
      </c>
      <c r="B273" s="3">
        <v>45689</v>
      </c>
      <c r="C273" s="3">
        <v>45689.715833333343</v>
      </c>
      <c r="D273" t="s">
        <v>12</v>
      </c>
      <c r="E273" t="s">
        <v>19</v>
      </c>
      <c r="F273" t="s">
        <v>41</v>
      </c>
      <c r="G273" t="s">
        <v>21</v>
      </c>
      <c r="H273">
        <v>8</v>
      </c>
      <c r="I273">
        <v>17.18</v>
      </c>
      <c r="J273">
        <v>6.13</v>
      </c>
      <c r="K273">
        <v>3</v>
      </c>
      <c r="L273" t="str">
        <f>IF(tblTickets[[#This Row],[SLA Target (hrs)]]&gt;=tblTickets[[#This Row],[Actual Resolution Time (hrs)]],"Yes","No")</f>
        <v>No</v>
      </c>
      <c r="M273">
        <f>(tblTickets[[#This Row],[Resolved Date]]-tblTickets[[#This Row],[Created Date]])*24</f>
        <v>17.180000000225846</v>
      </c>
      <c r="N273" t="str">
        <f>IF(tblTickets[[#This Row],[Customer Satisfaction]]&gt;=4,"Satisfied",IF(tblTickets[[#This Row],[Customer Satisfaction]]=3,"Neutral","Dissatisfied"))</f>
        <v>Neutral</v>
      </c>
    </row>
    <row r="274" spans="1:14" x14ac:dyDescent="0.35">
      <c r="A274" t="s">
        <v>180</v>
      </c>
      <c r="B274" s="3">
        <v>45658</v>
      </c>
      <c r="C274" s="3">
        <v>45658.727083333331</v>
      </c>
      <c r="D274" t="s">
        <v>34</v>
      </c>
      <c r="E274" t="s">
        <v>17</v>
      </c>
      <c r="F274" t="s">
        <v>41</v>
      </c>
      <c r="G274" t="s">
        <v>15</v>
      </c>
      <c r="H274">
        <v>8</v>
      </c>
      <c r="I274">
        <v>17.45</v>
      </c>
      <c r="J274">
        <v>5.16</v>
      </c>
      <c r="K274">
        <v>3</v>
      </c>
      <c r="L274" t="str">
        <f>IF(tblTickets[[#This Row],[SLA Target (hrs)]]&gt;=tblTickets[[#This Row],[Actual Resolution Time (hrs)]],"Yes","No")</f>
        <v>No</v>
      </c>
      <c r="M274">
        <f>(tblTickets[[#This Row],[Resolved Date]]-tblTickets[[#This Row],[Created Date]])*24</f>
        <v>17.449999999953434</v>
      </c>
      <c r="N274" t="str">
        <f>IF(tblTickets[[#This Row],[Customer Satisfaction]]&gt;=4,"Satisfied",IF(tblTickets[[#This Row],[Customer Satisfaction]]=3,"Neutral","Dissatisfied"))</f>
        <v>Neutral</v>
      </c>
    </row>
    <row r="275" spans="1:14" x14ac:dyDescent="0.35">
      <c r="A275" t="s">
        <v>414</v>
      </c>
      <c r="B275" s="3">
        <v>45715</v>
      </c>
      <c r="C275" s="3">
        <v>45715.728333333333</v>
      </c>
      <c r="D275" t="s">
        <v>23</v>
      </c>
      <c r="E275" t="s">
        <v>13</v>
      </c>
      <c r="F275" t="s">
        <v>14</v>
      </c>
      <c r="G275" t="s">
        <v>15</v>
      </c>
      <c r="H275">
        <v>4</v>
      </c>
      <c r="I275">
        <v>17.48</v>
      </c>
      <c r="J275">
        <v>7.39</v>
      </c>
      <c r="K275">
        <v>3</v>
      </c>
      <c r="L275" t="str">
        <f>IF(tblTickets[[#This Row],[SLA Target (hrs)]]&gt;=tblTickets[[#This Row],[Actual Resolution Time (hrs)]],"Yes","No")</f>
        <v>No</v>
      </c>
      <c r="M275">
        <f>(tblTickets[[#This Row],[Resolved Date]]-tblTickets[[#This Row],[Created Date]])*24</f>
        <v>17.479999999981374</v>
      </c>
      <c r="N275" t="str">
        <f>IF(tblTickets[[#This Row],[Customer Satisfaction]]&gt;=4,"Satisfied",IF(tblTickets[[#This Row],[Customer Satisfaction]]=3,"Neutral","Dissatisfied"))</f>
        <v>Neutral</v>
      </c>
    </row>
    <row r="276" spans="1:14" x14ac:dyDescent="0.35">
      <c r="A276" t="s">
        <v>235</v>
      </c>
      <c r="B276" s="3">
        <v>45726</v>
      </c>
      <c r="C276" s="3">
        <v>45726.740833333337</v>
      </c>
      <c r="D276" t="s">
        <v>34</v>
      </c>
      <c r="E276" t="s">
        <v>40</v>
      </c>
      <c r="F276" t="s">
        <v>20</v>
      </c>
      <c r="G276" t="s">
        <v>21</v>
      </c>
      <c r="H276">
        <v>4</v>
      </c>
      <c r="I276">
        <v>17.78</v>
      </c>
      <c r="J276">
        <v>1.4</v>
      </c>
      <c r="K276">
        <v>3</v>
      </c>
      <c r="L276" t="str">
        <f>IF(tblTickets[[#This Row],[SLA Target (hrs)]]&gt;=tblTickets[[#This Row],[Actual Resolution Time (hrs)]],"Yes","No")</f>
        <v>No</v>
      </c>
      <c r="M276">
        <f>(tblTickets[[#This Row],[Resolved Date]]-tblTickets[[#This Row],[Created Date]])*24</f>
        <v>17.780000000086147</v>
      </c>
      <c r="N276" t="str">
        <f>IF(tblTickets[[#This Row],[Customer Satisfaction]]&gt;=4,"Satisfied",IF(tblTickets[[#This Row],[Customer Satisfaction]]=3,"Neutral","Dissatisfied"))</f>
        <v>Neutral</v>
      </c>
    </row>
    <row r="277" spans="1:14" x14ac:dyDescent="0.35">
      <c r="A277" t="s">
        <v>181</v>
      </c>
      <c r="B277" s="3">
        <v>45680</v>
      </c>
      <c r="C277" s="3">
        <v>45680.752083333333</v>
      </c>
      <c r="D277" t="s">
        <v>30</v>
      </c>
      <c r="E277" t="s">
        <v>40</v>
      </c>
      <c r="F277" t="s">
        <v>45</v>
      </c>
      <c r="G277" t="s">
        <v>15</v>
      </c>
      <c r="H277">
        <v>4</v>
      </c>
      <c r="I277">
        <v>18.05</v>
      </c>
      <c r="J277">
        <v>0.82</v>
      </c>
      <c r="K277">
        <v>3</v>
      </c>
      <c r="L277" t="str">
        <f>IF(tblTickets[[#This Row],[SLA Target (hrs)]]&gt;=tblTickets[[#This Row],[Actual Resolution Time (hrs)]],"Yes","No")</f>
        <v>No</v>
      </c>
      <c r="M277">
        <f>(tblTickets[[#This Row],[Resolved Date]]-tblTickets[[#This Row],[Created Date]])*24</f>
        <v>18.049999999988358</v>
      </c>
      <c r="N277" t="str">
        <f>IF(tblTickets[[#This Row],[Customer Satisfaction]]&gt;=4,"Satisfied",IF(tblTickets[[#This Row],[Customer Satisfaction]]=3,"Neutral","Dissatisfied"))</f>
        <v>Neutral</v>
      </c>
    </row>
    <row r="278" spans="1:14" x14ac:dyDescent="0.35">
      <c r="A278" t="s">
        <v>148</v>
      </c>
      <c r="B278" s="3">
        <v>45683</v>
      </c>
      <c r="C278" s="3">
        <v>45683.7575</v>
      </c>
      <c r="D278" t="s">
        <v>34</v>
      </c>
      <c r="E278" t="s">
        <v>17</v>
      </c>
      <c r="F278" t="s">
        <v>20</v>
      </c>
      <c r="G278" t="s">
        <v>21</v>
      </c>
      <c r="H278">
        <v>8</v>
      </c>
      <c r="I278">
        <v>18.18</v>
      </c>
      <c r="J278">
        <v>7.69</v>
      </c>
      <c r="K278">
        <v>3</v>
      </c>
      <c r="L278" t="str">
        <f>IF(tblTickets[[#This Row],[SLA Target (hrs)]]&gt;=tblTickets[[#This Row],[Actual Resolution Time (hrs)]],"Yes","No")</f>
        <v>No</v>
      </c>
      <c r="M278">
        <f>(tblTickets[[#This Row],[Resolved Date]]-tblTickets[[#This Row],[Created Date]])*24</f>
        <v>18.179999999993015</v>
      </c>
      <c r="N278" t="str">
        <f>IF(tblTickets[[#This Row],[Customer Satisfaction]]&gt;=4,"Satisfied",IF(tblTickets[[#This Row],[Customer Satisfaction]]=3,"Neutral","Dissatisfied"))</f>
        <v>Neutral</v>
      </c>
    </row>
    <row r="279" spans="1:14" x14ac:dyDescent="0.35">
      <c r="A279" t="s">
        <v>286</v>
      </c>
      <c r="B279" s="3">
        <v>45716</v>
      </c>
      <c r="C279" s="3">
        <v>45716.771249999998</v>
      </c>
      <c r="D279" t="s">
        <v>12</v>
      </c>
      <c r="E279" t="s">
        <v>17</v>
      </c>
      <c r="F279" t="s">
        <v>20</v>
      </c>
      <c r="G279" t="s">
        <v>26</v>
      </c>
      <c r="H279">
        <v>4</v>
      </c>
      <c r="I279">
        <v>18.510000000000002</v>
      </c>
      <c r="J279">
        <v>5.93</v>
      </c>
      <c r="K279">
        <v>3</v>
      </c>
      <c r="L279" t="str">
        <f>IF(tblTickets[[#This Row],[SLA Target (hrs)]]&gt;=tblTickets[[#This Row],[Actual Resolution Time (hrs)]],"Yes","No")</f>
        <v>No</v>
      </c>
      <c r="M279">
        <f>(tblTickets[[#This Row],[Resolved Date]]-tblTickets[[#This Row],[Created Date]])*24</f>
        <v>18.509999999951106</v>
      </c>
      <c r="N279" t="str">
        <f>IF(tblTickets[[#This Row],[Customer Satisfaction]]&gt;=4,"Satisfied",IF(tblTickets[[#This Row],[Customer Satisfaction]]=3,"Neutral","Dissatisfied"))</f>
        <v>Neutral</v>
      </c>
    </row>
    <row r="280" spans="1:14" x14ac:dyDescent="0.35">
      <c r="A280" t="s">
        <v>270</v>
      </c>
      <c r="B280" s="3">
        <v>45736</v>
      </c>
      <c r="C280" s="3">
        <v>45736.811249999999</v>
      </c>
      <c r="D280" t="s">
        <v>30</v>
      </c>
      <c r="E280" t="s">
        <v>19</v>
      </c>
      <c r="F280" t="s">
        <v>20</v>
      </c>
      <c r="G280" t="s">
        <v>21</v>
      </c>
      <c r="H280">
        <v>8</v>
      </c>
      <c r="I280">
        <v>19.47</v>
      </c>
      <c r="J280">
        <v>4.51</v>
      </c>
      <c r="K280">
        <v>3</v>
      </c>
      <c r="L280" t="str">
        <f>IF(tblTickets[[#This Row],[SLA Target (hrs)]]&gt;=tblTickets[[#This Row],[Actual Resolution Time (hrs)]],"Yes","No")</f>
        <v>No</v>
      </c>
      <c r="M280">
        <f>(tblTickets[[#This Row],[Resolved Date]]-tblTickets[[#This Row],[Created Date]])*24</f>
        <v>19.46999999997206</v>
      </c>
      <c r="N280" t="str">
        <f>IF(tblTickets[[#This Row],[Customer Satisfaction]]&gt;=4,"Satisfied",IF(tblTickets[[#This Row],[Customer Satisfaction]]=3,"Neutral","Dissatisfied"))</f>
        <v>Neutral</v>
      </c>
    </row>
    <row r="281" spans="1:14" x14ac:dyDescent="0.35">
      <c r="A281" t="s">
        <v>126</v>
      </c>
      <c r="B281" s="3">
        <v>45725</v>
      </c>
      <c r="C281" s="3">
        <v>45725.844166666669</v>
      </c>
      <c r="D281" t="s">
        <v>12</v>
      </c>
      <c r="E281" t="s">
        <v>17</v>
      </c>
      <c r="F281" t="s">
        <v>45</v>
      </c>
      <c r="G281" t="s">
        <v>15</v>
      </c>
      <c r="H281">
        <v>8</v>
      </c>
      <c r="I281">
        <v>20.260000000000002</v>
      </c>
      <c r="J281">
        <v>5.46</v>
      </c>
      <c r="K281">
        <v>3</v>
      </c>
      <c r="L281" t="str">
        <f>IF(tblTickets[[#This Row],[SLA Target (hrs)]]&gt;=tblTickets[[#This Row],[Actual Resolution Time (hrs)]],"Yes","No")</f>
        <v>No</v>
      </c>
      <c r="M281">
        <f>(tblTickets[[#This Row],[Resolved Date]]-tblTickets[[#This Row],[Created Date]])*24</f>
        <v>20.260000000067521</v>
      </c>
      <c r="N281" t="str">
        <f>IF(tblTickets[[#This Row],[Customer Satisfaction]]&gt;=4,"Satisfied",IF(tblTickets[[#This Row],[Customer Satisfaction]]=3,"Neutral","Dissatisfied"))</f>
        <v>Neutral</v>
      </c>
    </row>
    <row r="282" spans="1:14" x14ac:dyDescent="0.35">
      <c r="A282" t="s">
        <v>348</v>
      </c>
      <c r="B282" s="3">
        <v>45664</v>
      </c>
      <c r="C282" s="3">
        <v>45664.860833333332</v>
      </c>
      <c r="D282" t="s">
        <v>12</v>
      </c>
      <c r="E282" t="s">
        <v>40</v>
      </c>
      <c r="F282" t="s">
        <v>25</v>
      </c>
      <c r="G282" t="s">
        <v>15</v>
      </c>
      <c r="H282">
        <v>8</v>
      </c>
      <c r="I282">
        <v>20.66</v>
      </c>
      <c r="J282">
        <v>6.3</v>
      </c>
      <c r="K282">
        <v>3</v>
      </c>
      <c r="L282" t="str">
        <f>IF(tblTickets[[#This Row],[SLA Target (hrs)]]&gt;=tblTickets[[#This Row],[Actual Resolution Time (hrs)]],"Yes","No")</f>
        <v>No</v>
      </c>
      <c r="M282">
        <f>(tblTickets[[#This Row],[Resolved Date]]-tblTickets[[#This Row],[Created Date]])*24</f>
        <v>20.659999999974389</v>
      </c>
      <c r="N282" t="str">
        <f>IF(tblTickets[[#This Row],[Customer Satisfaction]]&gt;=4,"Satisfied",IF(tblTickets[[#This Row],[Customer Satisfaction]]=3,"Neutral","Dissatisfied"))</f>
        <v>Neutral</v>
      </c>
    </row>
    <row r="283" spans="1:14" x14ac:dyDescent="0.35">
      <c r="A283" t="s">
        <v>430</v>
      </c>
      <c r="B283" s="3">
        <v>45712</v>
      </c>
      <c r="C283" s="3">
        <v>45712.874166666668</v>
      </c>
      <c r="D283" t="s">
        <v>30</v>
      </c>
      <c r="E283" t="s">
        <v>17</v>
      </c>
      <c r="F283" t="s">
        <v>45</v>
      </c>
      <c r="G283" t="s">
        <v>26</v>
      </c>
      <c r="H283">
        <v>8</v>
      </c>
      <c r="I283">
        <v>20.98</v>
      </c>
      <c r="J283">
        <v>5.04</v>
      </c>
      <c r="K283">
        <v>3</v>
      </c>
      <c r="L283" t="str">
        <f>IF(tblTickets[[#This Row],[SLA Target (hrs)]]&gt;=tblTickets[[#This Row],[Actual Resolution Time (hrs)]],"Yes","No")</f>
        <v>No</v>
      </c>
      <c r="M283">
        <f>(tblTickets[[#This Row],[Resolved Date]]-tblTickets[[#This Row],[Created Date]])*24</f>
        <v>20.980000000039581</v>
      </c>
      <c r="N283" t="str">
        <f>IF(tblTickets[[#This Row],[Customer Satisfaction]]&gt;=4,"Satisfied",IF(tblTickets[[#This Row],[Customer Satisfaction]]=3,"Neutral","Dissatisfied"))</f>
        <v>Neutral</v>
      </c>
    </row>
    <row r="284" spans="1:14" x14ac:dyDescent="0.35">
      <c r="A284" t="s">
        <v>291</v>
      </c>
      <c r="B284" s="3">
        <v>45695</v>
      </c>
      <c r="C284" s="3">
        <v>45695.894999999997</v>
      </c>
      <c r="D284" t="s">
        <v>23</v>
      </c>
      <c r="E284" t="s">
        <v>13</v>
      </c>
      <c r="F284" t="s">
        <v>25</v>
      </c>
      <c r="G284" t="s">
        <v>26</v>
      </c>
      <c r="H284">
        <v>4</v>
      </c>
      <c r="I284">
        <v>21.48</v>
      </c>
      <c r="J284">
        <v>7.38</v>
      </c>
      <c r="K284">
        <v>3</v>
      </c>
      <c r="L284" t="str">
        <f>IF(tblTickets[[#This Row],[SLA Target (hrs)]]&gt;=tblTickets[[#This Row],[Actual Resolution Time (hrs)]],"Yes","No")</f>
        <v>No</v>
      </c>
      <c r="M284">
        <f>(tblTickets[[#This Row],[Resolved Date]]-tblTickets[[#This Row],[Created Date]])*24</f>
        <v>21.479999999923166</v>
      </c>
      <c r="N284" t="str">
        <f>IF(tblTickets[[#This Row],[Customer Satisfaction]]&gt;=4,"Satisfied",IF(tblTickets[[#This Row],[Customer Satisfaction]]=3,"Neutral","Dissatisfied"))</f>
        <v>Neutral</v>
      </c>
    </row>
    <row r="285" spans="1:14" x14ac:dyDescent="0.35">
      <c r="A285" t="s">
        <v>515</v>
      </c>
      <c r="B285" s="3">
        <v>45697</v>
      </c>
      <c r="C285" s="3">
        <v>45697.902083333327</v>
      </c>
      <c r="D285" t="s">
        <v>30</v>
      </c>
      <c r="E285" t="s">
        <v>19</v>
      </c>
      <c r="F285" t="s">
        <v>45</v>
      </c>
      <c r="G285" t="s">
        <v>21</v>
      </c>
      <c r="H285">
        <v>8</v>
      </c>
      <c r="I285">
        <v>21.65</v>
      </c>
      <c r="J285">
        <v>1.36</v>
      </c>
      <c r="K285">
        <v>3</v>
      </c>
      <c r="L285" t="str">
        <f>IF(tblTickets[[#This Row],[SLA Target (hrs)]]&gt;=tblTickets[[#This Row],[Actual Resolution Time (hrs)]],"Yes","No")</f>
        <v>No</v>
      </c>
      <c r="M285">
        <f>(tblTickets[[#This Row],[Resolved Date]]-tblTickets[[#This Row],[Created Date]])*24</f>
        <v>21.64999999984866</v>
      </c>
      <c r="N285" t="str">
        <f>IF(tblTickets[[#This Row],[Customer Satisfaction]]&gt;=4,"Satisfied",IF(tblTickets[[#This Row],[Customer Satisfaction]]=3,"Neutral","Dissatisfied"))</f>
        <v>Neutral</v>
      </c>
    </row>
    <row r="286" spans="1:14" x14ac:dyDescent="0.35">
      <c r="A286" t="s">
        <v>485</v>
      </c>
      <c r="B286" s="3">
        <v>45664</v>
      </c>
      <c r="C286" s="3">
        <v>45664.943333333344</v>
      </c>
      <c r="D286" t="s">
        <v>23</v>
      </c>
      <c r="E286" t="s">
        <v>19</v>
      </c>
      <c r="F286" t="s">
        <v>41</v>
      </c>
      <c r="G286" t="s">
        <v>26</v>
      </c>
      <c r="H286">
        <v>8</v>
      </c>
      <c r="I286">
        <v>22.64</v>
      </c>
      <c r="J286">
        <v>3.16</v>
      </c>
      <c r="K286">
        <v>3</v>
      </c>
      <c r="L286" t="str">
        <f>IF(tblTickets[[#This Row],[SLA Target (hrs)]]&gt;=tblTickets[[#This Row],[Actual Resolution Time (hrs)]],"Yes","No")</f>
        <v>No</v>
      </c>
      <c r="M286">
        <f>(tblTickets[[#This Row],[Resolved Date]]-tblTickets[[#This Row],[Created Date]])*24</f>
        <v>22.6400000002468</v>
      </c>
      <c r="N286" t="str">
        <f>IF(tblTickets[[#This Row],[Customer Satisfaction]]&gt;=4,"Satisfied",IF(tblTickets[[#This Row],[Customer Satisfaction]]=3,"Neutral","Dissatisfied"))</f>
        <v>Neutral</v>
      </c>
    </row>
    <row r="287" spans="1:14" x14ac:dyDescent="0.35">
      <c r="A287" t="s">
        <v>16</v>
      </c>
      <c r="B287" s="3">
        <v>45747</v>
      </c>
      <c r="C287" s="3">
        <v>45748.03833333333</v>
      </c>
      <c r="D287" t="s">
        <v>12</v>
      </c>
      <c r="E287" t="s">
        <v>17</v>
      </c>
      <c r="F287" t="s">
        <v>14</v>
      </c>
      <c r="G287" t="s">
        <v>15</v>
      </c>
      <c r="H287">
        <v>24</v>
      </c>
      <c r="I287">
        <v>24.92</v>
      </c>
      <c r="J287">
        <v>2.08</v>
      </c>
      <c r="K287">
        <v>3</v>
      </c>
      <c r="L287" t="str">
        <f>IF(tblTickets[[#This Row],[SLA Target (hrs)]]&gt;=tblTickets[[#This Row],[Actual Resolution Time (hrs)]],"Yes","No")</f>
        <v>No</v>
      </c>
      <c r="M287">
        <f>(tblTickets[[#This Row],[Resolved Date]]-tblTickets[[#This Row],[Created Date]])*24</f>
        <v>24.919999999925494</v>
      </c>
      <c r="N287" t="str">
        <f>IF(tblTickets[[#This Row],[Customer Satisfaction]]&gt;=4,"Satisfied",IF(tblTickets[[#This Row],[Customer Satisfaction]]=3,"Neutral","Dissatisfied"))</f>
        <v>Neutral</v>
      </c>
    </row>
    <row r="288" spans="1:14" x14ac:dyDescent="0.35">
      <c r="A288" t="s">
        <v>334</v>
      </c>
      <c r="B288" s="3">
        <v>45740</v>
      </c>
      <c r="C288" s="3">
        <v>45741.052499999998</v>
      </c>
      <c r="D288" t="s">
        <v>23</v>
      </c>
      <c r="E288" t="s">
        <v>40</v>
      </c>
      <c r="F288" t="s">
        <v>20</v>
      </c>
      <c r="G288" t="s">
        <v>15</v>
      </c>
      <c r="H288">
        <v>4</v>
      </c>
      <c r="I288">
        <v>25.26</v>
      </c>
      <c r="J288">
        <v>2.95</v>
      </c>
      <c r="K288">
        <v>3</v>
      </c>
      <c r="L288" t="str">
        <f>IF(tblTickets[[#This Row],[SLA Target (hrs)]]&gt;=tblTickets[[#This Row],[Actual Resolution Time (hrs)]],"Yes","No")</f>
        <v>No</v>
      </c>
      <c r="M288">
        <f>(tblTickets[[#This Row],[Resolved Date]]-tblTickets[[#This Row],[Created Date]])*24</f>
        <v>25.259999999951106</v>
      </c>
      <c r="N288" t="str">
        <f>IF(tblTickets[[#This Row],[Customer Satisfaction]]&gt;=4,"Satisfied",IF(tblTickets[[#This Row],[Customer Satisfaction]]=3,"Neutral","Dissatisfied"))</f>
        <v>Neutral</v>
      </c>
    </row>
    <row r="289" spans="1:14" x14ac:dyDescent="0.35">
      <c r="A289" t="s">
        <v>38</v>
      </c>
      <c r="B289" s="3">
        <v>45659</v>
      </c>
      <c r="C289" s="3">
        <v>45660.054166666669</v>
      </c>
      <c r="D289" t="s">
        <v>30</v>
      </c>
      <c r="E289" t="s">
        <v>19</v>
      </c>
      <c r="F289" t="s">
        <v>25</v>
      </c>
      <c r="G289" t="s">
        <v>21</v>
      </c>
      <c r="H289">
        <v>4</v>
      </c>
      <c r="I289">
        <v>25.3</v>
      </c>
      <c r="J289">
        <v>1.07</v>
      </c>
      <c r="K289">
        <v>3</v>
      </c>
      <c r="L289" t="str">
        <f>IF(tblTickets[[#This Row],[SLA Target (hrs)]]&gt;=tblTickets[[#This Row],[Actual Resolution Time (hrs)]],"Yes","No")</f>
        <v>No</v>
      </c>
      <c r="M289">
        <f>(tblTickets[[#This Row],[Resolved Date]]-tblTickets[[#This Row],[Created Date]])*24</f>
        <v>25.300000000046566</v>
      </c>
      <c r="N289" t="str">
        <f>IF(tblTickets[[#This Row],[Customer Satisfaction]]&gt;=4,"Satisfied",IF(tblTickets[[#This Row],[Customer Satisfaction]]=3,"Neutral","Dissatisfied"))</f>
        <v>Neutral</v>
      </c>
    </row>
    <row r="290" spans="1:14" x14ac:dyDescent="0.35">
      <c r="A290" t="s">
        <v>507</v>
      </c>
      <c r="B290" s="3">
        <v>45660</v>
      </c>
      <c r="C290" s="3">
        <v>45661.058749999997</v>
      </c>
      <c r="D290" t="s">
        <v>23</v>
      </c>
      <c r="E290" t="s">
        <v>13</v>
      </c>
      <c r="F290" t="s">
        <v>41</v>
      </c>
      <c r="G290" t="s">
        <v>26</v>
      </c>
      <c r="H290">
        <v>4</v>
      </c>
      <c r="I290">
        <v>25.41</v>
      </c>
      <c r="J290">
        <v>0.66</v>
      </c>
      <c r="K290">
        <v>3</v>
      </c>
      <c r="L290" t="str">
        <f>IF(tblTickets[[#This Row],[SLA Target (hrs)]]&gt;=tblTickets[[#This Row],[Actual Resolution Time (hrs)]],"Yes","No")</f>
        <v>No</v>
      </c>
      <c r="M290">
        <f>(tblTickets[[#This Row],[Resolved Date]]-tblTickets[[#This Row],[Created Date]])*24</f>
        <v>25.409999999916181</v>
      </c>
      <c r="N290" t="str">
        <f>IF(tblTickets[[#This Row],[Customer Satisfaction]]&gt;=4,"Satisfied",IF(tblTickets[[#This Row],[Customer Satisfaction]]=3,"Neutral","Dissatisfied"))</f>
        <v>Neutral</v>
      </c>
    </row>
    <row r="291" spans="1:14" x14ac:dyDescent="0.35">
      <c r="A291" t="s">
        <v>325</v>
      </c>
      <c r="B291" s="3">
        <v>45740</v>
      </c>
      <c r="C291" s="3">
        <v>45741.066666666673</v>
      </c>
      <c r="D291" t="s">
        <v>12</v>
      </c>
      <c r="E291" t="s">
        <v>13</v>
      </c>
      <c r="F291" t="s">
        <v>20</v>
      </c>
      <c r="G291" t="s">
        <v>21</v>
      </c>
      <c r="H291">
        <v>4</v>
      </c>
      <c r="I291">
        <v>25.6</v>
      </c>
      <c r="J291">
        <v>7.17</v>
      </c>
      <c r="K291">
        <v>3</v>
      </c>
      <c r="L291" t="str">
        <f>IF(tblTickets[[#This Row],[SLA Target (hrs)]]&gt;=tblTickets[[#This Row],[Actual Resolution Time (hrs)]],"Yes","No")</f>
        <v>No</v>
      </c>
      <c r="M291">
        <f>(tblTickets[[#This Row],[Resolved Date]]-tblTickets[[#This Row],[Created Date]])*24</f>
        <v>25.60000000015134</v>
      </c>
      <c r="N291" t="str">
        <f>IF(tblTickets[[#This Row],[Customer Satisfaction]]&gt;=4,"Satisfied",IF(tblTickets[[#This Row],[Customer Satisfaction]]=3,"Neutral","Dissatisfied"))</f>
        <v>Neutral</v>
      </c>
    </row>
    <row r="292" spans="1:14" x14ac:dyDescent="0.35">
      <c r="A292" t="s">
        <v>524</v>
      </c>
      <c r="B292" s="3">
        <v>45666</v>
      </c>
      <c r="C292" s="3">
        <v>45667.082499999997</v>
      </c>
      <c r="D292" t="s">
        <v>34</v>
      </c>
      <c r="E292" t="s">
        <v>19</v>
      </c>
      <c r="F292" t="s">
        <v>25</v>
      </c>
      <c r="G292" t="s">
        <v>21</v>
      </c>
      <c r="H292">
        <v>24</v>
      </c>
      <c r="I292">
        <v>25.98</v>
      </c>
      <c r="J292">
        <v>0.71</v>
      </c>
      <c r="K292">
        <v>3</v>
      </c>
      <c r="L292" t="str">
        <f>IF(tblTickets[[#This Row],[SLA Target (hrs)]]&gt;=tblTickets[[#This Row],[Actual Resolution Time (hrs)]],"Yes","No")</f>
        <v>No</v>
      </c>
      <c r="M292">
        <f>(tblTickets[[#This Row],[Resolved Date]]-tblTickets[[#This Row],[Created Date]])*24</f>
        <v>25.979999999923166</v>
      </c>
      <c r="N292" t="str">
        <f>IF(tblTickets[[#This Row],[Customer Satisfaction]]&gt;=4,"Satisfied",IF(tblTickets[[#This Row],[Customer Satisfaction]]=3,"Neutral","Dissatisfied"))</f>
        <v>Neutral</v>
      </c>
    </row>
    <row r="293" spans="1:14" x14ac:dyDescent="0.35">
      <c r="A293" t="s">
        <v>194</v>
      </c>
      <c r="B293" s="3">
        <v>45686</v>
      </c>
      <c r="C293" s="3">
        <v>45687.144999999997</v>
      </c>
      <c r="D293" t="s">
        <v>12</v>
      </c>
      <c r="E293" t="s">
        <v>40</v>
      </c>
      <c r="F293" t="s">
        <v>14</v>
      </c>
      <c r="G293" t="s">
        <v>15</v>
      </c>
      <c r="H293">
        <v>8</v>
      </c>
      <c r="I293">
        <v>27.48</v>
      </c>
      <c r="J293">
        <v>6.96</v>
      </c>
      <c r="K293">
        <v>3</v>
      </c>
      <c r="L293" t="str">
        <f>IF(tblTickets[[#This Row],[SLA Target (hrs)]]&gt;=tblTickets[[#This Row],[Actual Resolution Time (hrs)]],"Yes","No")</f>
        <v>No</v>
      </c>
      <c r="M293">
        <f>(tblTickets[[#This Row],[Resolved Date]]-tblTickets[[#This Row],[Created Date]])*24</f>
        <v>27.479999999923166</v>
      </c>
      <c r="N293" t="str">
        <f>IF(tblTickets[[#This Row],[Customer Satisfaction]]&gt;=4,"Satisfied",IF(tblTickets[[#This Row],[Customer Satisfaction]]=3,"Neutral","Dissatisfied"))</f>
        <v>Neutral</v>
      </c>
    </row>
    <row r="294" spans="1:14" x14ac:dyDescent="0.35">
      <c r="A294" t="s">
        <v>408</v>
      </c>
      <c r="B294" s="3">
        <v>45719</v>
      </c>
      <c r="C294" s="3">
        <v>45720.162083333344</v>
      </c>
      <c r="D294" t="s">
        <v>34</v>
      </c>
      <c r="E294" t="s">
        <v>19</v>
      </c>
      <c r="F294" t="s">
        <v>45</v>
      </c>
      <c r="G294" t="s">
        <v>21</v>
      </c>
      <c r="H294">
        <v>4</v>
      </c>
      <c r="I294">
        <v>27.89</v>
      </c>
      <c r="J294">
        <v>7.97</v>
      </c>
      <c r="K294">
        <v>3</v>
      </c>
      <c r="L294" t="str">
        <f>IF(tblTickets[[#This Row],[SLA Target (hrs)]]&gt;=tblTickets[[#This Row],[Actual Resolution Time (hrs)]],"Yes","No")</f>
        <v>No</v>
      </c>
      <c r="M294">
        <f>(tblTickets[[#This Row],[Resolved Date]]-tblTickets[[#This Row],[Created Date]])*24</f>
        <v>27.8900000002468</v>
      </c>
      <c r="N294" t="str">
        <f>IF(tblTickets[[#This Row],[Customer Satisfaction]]&gt;=4,"Satisfied",IF(tblTickets[[#This Row],[Customer Satisfaction]]=3,"Neutral","Dissatisfied"))</f>
        <v>Neutral</v>
      </c>
    </row>
    <row r="295" spans="1:14" x14ac:dyDescent="0.35">
      <c r="A295" t="s">
        <v>234</v>
      </c>
      <c r="B295" s="3">
        <v>45695</v>
      </c>
      <c r="C295" s="3">
        <v>45696.172083333331</v>
      </c>
      <c r="D295" t="s">
        <v>12</v>
      </c>
      <c r="E295" t="s">
        <v>17</v>
      </c>
      <c r="F295" t="s">
        <v>25</v>
      </c>
      <c r="G295" t="s">
        <v>15</v>
      </c>
      <c r="H295">
        <v>4</v>
      </c>
      <c r="I295">
        <v>28.13</v>
      </c>
      <c r="J295">
        <v>6.65</v>
      </c>
      <c r="K295">
        <v>3</v>
      </c>
      <c r="L295" t="str">
        <f>IF(tblTickets[[#This Row],[SLA Target (hrs)]]&gt;=tblTickets[[#This Row],[Actual Resolution Time (hrs)]],"Yes","No")</f>
        <v>No</v>
      </c>
      <c r="M295">
        <f>(tblTickets[[#This Row],[Resolved Date]]-tblTickets[[#This Row],[Created Date]])*24</f>
        <v>28.129999999946449</v>
      </c>
      <c r="N295" t="str">
        <f>IF(tblTickets[[#This Row],[Customer Satisfaction]]&gt;=4,"Satisfied",IF(tblTickets[[#This Row],[Customer Satisfaction]]=3,"Neutral","Dissatisfied"))</f>
        <v>Neutral</v>
      </c>
    </row>
    <row r="296" spans="1:14" x14ac:dyDescent="0.35">
      <c r="A296" t="s">
        <v>396</v>
      </c>
      <c r="B296" s="3">
        <v>45710</v>
      </c>
      <c r="C296" s="3">
        <v>45711.177499999998</v>
      </c>
      <c r="D296" t="s">
        <v>34</v>
      </c>
      <c r="E296" t="s">
        <v>40</v>
      </c>
      <c r="F296" t="s">
        <v>45</v>
      </c>
      <c r="G296" t="s">
        <v>15</v>
      </c>
      <c r="H296">
        <v>4</v>
      </c>
      <c r="I296">
        <v>28.26</v>
      </c>
      <c r="J296">
        <v>3.48</v>
      </c>
      <c r="K296">
        <v>3</v>
      </c>
      <c r="L296" t="str">
        <f>IF(tblTickets[[#This Row],[SLA Target (hrs)]]&gt;=tblTickets[[#This Row],[Actual Resolution Time (hrs)]],"Yes","No")</f>
        <v>No</v>
      </c>
      <c r="M296">
        <f>(tblTickets[[#This Row],[Resolved Date]]-tblTickets[[#This Row],[Created Date]])*24</f>
        <v>28.259999999951106</v>
      </c>
      <c r="N296" t="str">
        <f>IF(tblTickets[[#This Row],[Customer Satisfaction]]&gt;=4,"Satisfied",IF(tblTickets[[#This Row],[Customer Satisfaction]]=3,"Neutral","Dissatisfied"))</f>
        <v>Neutral</v>
      </c>
    </row>
    <row r="297" spans="1:14" x14ac:dyDescent="0.35">
      <c r="A297" t="s">
        <v>441</v>
      </c>
      <c r="B297" s="3">
        <v>45677</v>
      </c>
      <c r="C297" s="3">
        <v>45678.209166666667</v>
      </c>
      <c r="D297" t="s">
        <v>12</v>
      </c>
      <c r="E297" t="s">
        <v>19</v>
      </c>
      <c r="F297" t="s">
        <v>45</v>
      </c>
      <c r="G297" t="s">
        <v>26</v>
      </c>
      <c r="H297">
        <v>8</v>
      </c>
      <c r="I297">
        <v>29.02</v>
      </c>
      <c r="J297">
        <v>1.1299999999999999</v>
      </c>
      <c r="K297">
        <v>3</v>
      </c>
      <c r="L297" t="str">
        <f>IF(tblTickets[[#This Row],[SLA Target (hrs)]]&gt;=tblTickets[[#This Row],[Actual Resolution Time (hrs)]],"Yes","No")</f>
        <v>No</v>
      </c>
      <c r="M297">
        <f>(tblTickets[[#This Row],[Resolved Date]]-tblTickets[[#This Row],[Created Date]])*24</f>
        <v>29.020000000018626</v>
      </c>
      <c r="N297" t="str">
        <f>IF(tblTickets[[#This Row],[Customer Satisfaction]]&gt;=4,"Satisfied",IF(tblTickets[[#This Row],[Customer Satisfaction]]=3,"Neutral","Dissatisfied"))</f>
        <v>Neutral</v>
      </c>
    </row>
    <row r="298" spans="1:14" x14ac:dyDescent="0.35">
      <c r="A298" t="s">
        <v>102</v>
      </c>
      <c r="B298" s="3">
        <v>45669</v>
      </c>
      <c r="C298" s="3">
        <v>45670.220416666663</v>
      </c>
      <c r="D298" t="s">
        <v>34</v>
      </c>
      <c r="E298" t="s">
        <v>13</v>
      </c>
      <c r="F298" t="s">
        <v>25</v>
      </c>
      <c r="G298" t="s">
        <v>15</v>
      </c>
      <c r="H298">
        <v>8</v>
      </c>
      <c r="I298">
        <v>29.29</v>
      </c>
      <c r="J298">
        <v>5.03</v>
      </c>
      <c r="K298">
        <v>3</v>
      </c>
      <c r="L298" t="str">
        <f>IF(tblTickets[[#This Row],[SLA Target (hrs)]]&gt;=tblTickets[[#This Row],[Actual Resolution Time (hrs)]],"Yes","No")</f>
        <v>No</v>
      </c>
      <c r="M298">
        <f>(tblTickets[[#This Row],[Resolved Date]]-tblTickets[[#This Row],[Created Date]])*24</f>
        <v>29.289999999920838</v>
      </c>
      <c r="N298" t="str">
        <f>IF(tblTickets[[#This Row],[Customer Satisfaction]]&gt;=4,"Satisfied",IF(tblTickets[[#This Row],[Customer Satisfaction]]=3,"Neutral","Dissatisfied"))</f>
        <v>Neutral</v>
      </c>
    </row>
    <row r="299" spans="1:14" x14ac:dyDescent="0.35">
      <c r="A299" t="s">
        <v>488</v>
      </c>
      <c r="B299" s="3">
        <v>45710</v>
      </c>
      <c r="C299" s="3">
        <v>45711.222500000003</v>
      </c>
      <c r="D299" t="s">
        <v>34</v>
      </c>
      <c r="E299" t="s">
        <v>17</v>
      </c>
      <c r="F299" t="s">
        <v>20</v>
      </c>
      <c r="G299" t="s">
        <v>15</v>
      </c>
      <c r="H299">
        <v>24</v>
      </c>
      <c r="I299">
        <v>29.34</v>
      </c>
      <c r="J299">
        <v>4.42</v>
      </c>
      <c r="K299">
        <v>3</v>
      </c>
      <c r="L299" t="str">
        <f>IF(tblTickets[[#This Row],[SLA Target (hrs)]]&gt;=tblTickets[[#This Row],[Actual Resolution Time (hrs)]],"Yes","No")</f>
        <v>No</v>
      </c>
      <c r="M299">
        <f>(tblTickets[[#This Row],[Resolved Date]]-tblTickets[[#This Row],[Created Date]])*24</f>
        <v>29.340000000083819</v>
      </c>
      <c r="N299" t="str">
        <f>IF(tblTickets[[#This Row],[Customer Satisfaction]]&gt;=4,"Satisfied",IF(tblTickets[[#This Row],[Customer Satisfaction]]=3,"Neutral","Dissatisfied"))</f>
        <v>Neutral</v>
      </c>
    </row>
    <row r="300" spans="1:14" x14ac:dyDescent="0.35">
      <c r="A300" t="s">
        <v>464</v>
      </c>
      <c r="B300" s="3">
        <v>45738</v>
      </c>
      <c r="C300" s="3">
        <v>45739.268750000003</v>
      </c>
      <c r="D300" t="s">
        <v>23</v>
      </c>
      <c r="E300" t="s">
        <v>13</v>
      </c>
      <c r="F300" t="s">
        <v>14</v>
      </c>
      <c r="G300" t="s">
        <v>21</v>
      </c>
      <c r="H300">
        <v>8</v>
      </c>
      <c r="I300">
        <v>30.45</v>
      </c>
      <c r="J300">
        <v>1.18</v>
      </c>
      <c r="K300">
        <v>3</v>
      </c>
      <c r="L300" t="str">
        <f>IF(tblTickets[[#This Row],[SLA Target (hrs)]]&gt;=tblTickets[[#This Row],[Actual Resolution Time (hrs)]],"Yes","No")</f>
        <v>No</v>
      </c>
      <c r="M300">
        <f>(tblTickets[[#This Row],[Resolved Date]]-tblTickets[[#This Row],[Created Date]])*24</f>
        <v>30.450000000069849</v>
      </c>
      <c r="N300" t="str">
        <f>IF(tblTickets[[#This Row],[Customer Satisfaction]]&gt;=4,"Satisfied",IF(tblTickets[[#This Row],[Customer Satisfaction]]=3,"Neutral","Dissatisfied"))</f>
        <v>Neutral</v>
      </c>
    </row>
    <row r="301" spans="1:14" x14ac:dyDescent="0.35">
      <c r="A301" t="s">
        <v>397</v>
      </c>
      <c r="B301" s="3">
        <v>45733</v>
      </c>
      <c r="C301" s="3">
        <v>45734.342083333337</v>
      </c>
      <c r="D301" t="s">
        <v>12</v>
      </c>
      <c r="E301" t="s">
        <v>17</v>
      </c>
      <c r="F301" t="s">
        <v>14</v>
      </c>
      <c r="G301" t="s">
        <v>21</v>
      </c>
      <c r="H301">
        <v>8</v>
      </c>
      <c r="I301">
        <v>32.21</v>
      </c>
      <c r="J301">
        <v>5.37</v>
      </c>
      <c r="K301">
        <v>3</v>
      </c>
      <c r="L301" t="str">
        <f>IF(tblTickets[[#This Row],[SLA Target (hrs)]]&gt;=tblTickets[[#This Row],[Actual Resolution Time (hrs)]],"Yes","No")</f>
        <v>No</v>
      </c>
      <c r="M301">
        <f>(tblTickets[[#This Row],[Resolved Date]]-tblTickets[[#This Row],[Created Date]])*24</f>
        <v>32.210000000079162</v>
      </c>
      <c r="N301" t="str">
        <f>IF(tblTickets[[#This Row],[Customer Satisfaction]]&gt;=4,"Satisfied",IF(tblTickets[[#This Row],[Customer Satisfaction]]=3,"Neutral","Dissatisfied"))</f>
        <v>Neutral</v>
      </c>
    </row>
    <row r="302" spans="1:14" x14ac:dyDescent="0.35">
      <c r="A302" t="s">
        <v>60</v>
      </c>
      <c r="B302" s="3">
        <v>45688</v>
      </c>
      <c r="C302" s="3">
        <v>45689.367083333331</v>
      </c>
      <c r="D302" t="s">
        <v>34</v>
      </c>
      <c r="E302" t="s">
        <v>13</v>
      </c>
      <c r="F302" t="s">
        <v>41</v>
      </c>
      <c r="G302" t="s">
        <v>26</v>
      </c>
      <c r="H302">
        <v>24</v>
      </c>
      <c r="I302">
        <v>32.81</v>
      </c>
      <c r="J302">
        <v>5.84</v>
      </c>
      <c r="K302">
        <v>3</v>
      </c>
      <c r="L302" t="str">
        <f>IF(tblTickets[[#This Row],[SLA Target (hrs)]]&gt;=tblTickets[[#This Row],[Actual Resolution Time (hrs)]],"Yes","No")</f>
        <v>No</v>
      </c>
      <c r="M302">
        <f>(tblTickets[[#This Row],[Resolved Date]]-tblTickets[[#This Row],[Created Date]])*24</f>
        <v>32.809999999939464</v>
      </c>
      <c r="N302" t="str">
        <f>IF(tblTickets[[#This Row],[Customer Satisfaction]]&gt;=4,"Satisfied",IF(tblTickets[[#This Row],[Customer Satisfaction]]=3,"Neutral","Dissatisfied"))</f>
        <v>Neutral</v>
      </c>
    </row>
    <row r="303" spans="1:14" x14ac:dyDescent="0.35">
      <c r="A303" t="s">
        <v>361</v>
      </c>
      <c r="B303" s="3">
        <v>45691</v>
      </c>
      <c r="C303" s="3">
        <v>45692.368750000001</v>
      </c>
      <c r="D303" t="s">
        <v>12</v>
      </c>
      <c r="E303" t="s">
        <v>17</v>
      </c>
      <c r="F303" t="s">
        <v>45</v>
      </c>
      <c r="G303" t="s">
        <v>26</v>
      </c>
      <c r="H303">
        <v>8</v>
      </c>
      <c r="I303">
        <v>32.85</v>
      </c>
      <c r="J303">
        <v>2.11</v>
      </c>
      <c r="K303">
        <v>3</v>
      </c>
      <c r="L303" t="str">
        <f>IF(tblTickets[[#This Row],[SLA Target (hrs)]]&gt;=tblTickets[[#This Row],[Actual Resolution Time (hrs)]],"Yes","No")</f>
        <v>No</v>
      </c>
      <c r="M303">
        <f>(tblTickets[[#This Row],[Resolved Date]]-tblTickets[[#This Row],[Created Date]])*24</f>
        <v>32.850000000034925</v>
      </c>
      <c r="N303" t="str">
        <f>IF(tblTickets[[#This Row],[Customer Satisfaction]]&gt;=4,"Satisfied",IF(tblTickets[[#This Row],[Customer Satisfaction]]=3,"Neutral","Dissatisfied"))</f>
        <v>Neutral</v>
      </c>
    </row>
    <row r="304" spans="1:14" x14ac:dyDescent="0.35">
      <c r="A304" t="s">
        <v>504</v>
      </c>
      <c r="B304" s="3">
        <v>45740</v>
      </c>
      <c r="C304" s="3">
        <v>45741.368750000001</v>
      </c>
      <c r="D304" t="s">
        <v>34</v>
      </c>
      <c r="E304" t="s">
        <v>19</v>
      </c>
      <c r="F304" t="s">
        <v>20</v>
      </c>
      <c r="G304" t="s">
        <v>21</v>
      </c>
      <c r="H304">
        <v>4</v>
      </c>
      <c r="I304">
        <v>32.85</v>
      </c>
      <c r="J304">
        <v>1.66</v>
      </c>
      <c r="K304">
        <v>3</v>
      </c>
      <c r="L304" t="str">
        <f>IF(tblTickets[[#This Row],[SLA Target (hrs)]]&gt;=tblTickets[[#This Row],[Actual Resolution Time (hrs)]],"Yes","No")</f>
        <v>No</v>
      </c>
      <c r="M304">
        <f>(tblTickets[[#This Row],[Resolved Date]]-tblTickets[[#This Row],[Created Date]])*24</f>
        <v>32.850000000034925</v>
      </c>
      <c r="N304" t="str">
        <f>IF(tblTickets[[#This Row],[Customer Satisfaction]]&gt;=4,"Satisfied",IF(tblTickets[[#This Row],[Customer Satisfaction]]=3,"Neutral","Dissatisfied"))</f>
        <v>Neutral</v>
      </c>
    </row>
    <row r="305" spans="1:14" x14ac:dyDescent="0.35">
      <c r="A305" t="s">
        <v>285</v>
      </c>
      <c r="B305" s="3">
        <v>45706</v>
      </c>
      <c r="C305" s="3">
        <v>45707.38958333333</v>
      </c>
      <c r="D305" t="s">
        <v>34</v>
      </c>
      <c r="E305" t="s">
        <v>13</v>
      </c>
      <c r="F305" t="s">
        <v>25</v>
      </c>
      <c r="G305" t="s">
        <v>26</v>
      </c>
      <c r="H305">
        <v>8</v>
      </c>
      <c r="I305">
        <v>33.35</v>
      </c>
      <c r="J305">
        <v>4.97</v>
      </c>
      <c r="K305">
        <v>3</v>
      </c>
      <c r="L305" t="str">
        <f>IF(tblTickets[[#This Row],[SLA Target (hrs)]]&gt;=tblTickets[[#This Row],[Actual Resolution Time (hrs)]],"Yes","No")</f>
        <v>No</v>
      </c>
      <c r="M305">
        <f>(tblTickets[[#This Row],[Resolved Date]]-tblTickets[[#This Row],[Created Date]])*24</f>
        <v>33.349999999918509</v>
      </c>
      <c r="N305" t="str">
        <f>IF(tblTickets[[#This Row],[Customer Satisfaction]]&gt;=4,"Satisfied",IF(tblTickets[[#This Row],[Customer Satisfaction]]=3,"Neutral","Dissatisfied"))</f>
        <v>Neutral</v>
      </c>
    </row>
    <row r="306" spans="1:14" x14ac:dyDescent="0.35">
      <c r="A306" t="s">
        <v>481</v>
      </c>
      <c r="B306" s="3">
        <v>45700</v>
      </c>
      <c r="C306" s="3">
        <v>45700.051666666674</v>
      </c>
      <c r="D306" t="s">
        <v>23</v>
      </c>
      <c r="E306" t="s">
        <v>17</v>
      </c>
      <c r="F306" t="s">
        <v>20</v>
      </c>
      <c r="G306" t="s">
        <v>26</v>
      </c>
      <c r="H306">
        <v>24</v>
      </c>
      <c r="I306">
        <v>1.24</v>
      </c>
      <c r="J306">
        <v>0.53</v>
      </c>
      <c r="K306">
        <v>4</v>
      </c>
      <c r="L306" t="str">
        <f>IF(tblTickets[[#This Row],[SLA Target (hrs)]]&gt;=tblTickets[[#This Row],[Actual Resolution Time (hrs)]],"Yes","No")</f>
        <v>Yes</v>
      </c>
      <c r="M306">
        <f>(tblTickets[[#This Row],[Resolved Date]]-tblTickets[[#This Row],[Created Date]])*24</f>
        <v>1.2400000001653098</v>
      </c>
      <c r="N306" t="str">
        <f>IF(tblTickets[[#This Row],[Customer Satisfaction]]&gt;=4,"Satisfied",IF(tblTickets[[#This Row],[Customer Satisfaction]]=3,"Neutral","Dissatisfied"))</f>
        <v>Satisfied</v>
      </c>
    </row>
    <row r="307" spans="1:14" x14ac:dyDescent="0.35">
      <c r="A307" t="s">
        <v>115</v>
      </c>
      <c r="B307" s="3">
        <v>45717</v>
      </c>
      <c r="C307" s="3">
        <v>45717.10083333333</v>
      </c>
      <c r="D307" t="s">
        <v>30</v>
      </c>
      <c r="E307" t="s">
        <v>40</v>
      </c>
      <c r="F307" t="s">
        <v>45</v>
      </c>
      <c r="G307" t="s">
        <v>26</v>
      </c>
      <c r="H307">
        <v>24</v>
      </c>
      <c r="I307">
        <v>2.42</v>
      </c>
      <c r="J307">
        <v>4.37</v>
      </c>
      <c r="K307">
        <v>4</v>
      </c>
      <c r="L307" t="str">
        <f>IF(tblTickets[[#This Row],[SLA Target (hrs)]]&gt;=tblTickets[[#This Row],[Actual Resolution Time (hrs)]],"Yes","No")</f>
        <v>Yes</v>
      </c>
      <c r="M307">
        <f>(tblTickets[[#This Row],[Resolved Date]]-tblTickets[[#This Row],[Created Date]])*24</f>
        <v>2.4199999999254942</v>
      </c>
      <c r="N307" t="str">
        <f>IF(tblTickets[[#This Row],[Customer Satisfaction]]&gt;=4,"Satisfied",IF(tblTickets[[#This Row],[Customer Satisfaction]]=3,"Neutral","Dissatisfied"))</f>
        <v>Satisfied</v>
      </c>
    </row>
    <row r="308" spans="1:14" x14ac:dyDescent="0.35">
      <c r="A308" t="s">
        <v>29</v>
      </c>
      <c r="B308" s="3">
        <v>45658</v>
      </c>
      <c r="C308" s="3">
        <v>45658.109583333331</v>
      </c>
      <c r="D308" t="s">
        <v>30</v>
      </c>
      <c r="E308" t="s">
        <v>17</v>
      </c>
      <c r="F308" t="s">
        <v>14</v>
      </c>
      <c r="G308" t="s">
        <v>15</v>
      </c>
      <c r="H308">
        <v>8</v>
      </c>
      <c r="I308">
        <v>2.63</v>
      </c>
      <c r="J308">
        <v>4.62</v>
      </c>
      <c r="K308">
        <v>4</v>
      </c>
      <c r="L308" t="str">
        <f>IF(tblTickets[[#This Row],[SLA Target (hrs)]]&gt;=tblTickets[[#This Row],[Actual Resolution Time (hrs)]],"Yes","No")</f>
        <v>Yes</v>
      </c>
      <c r="M308">
        <f>(tblTickets[[#This Row],[Resolved Date]]-tblTickets[[#This Row],[Created Date]])*24</f>
        <v>2.629999999946449</v>
      </c>
      <c r="N308" t="str">
        <f>IF(tblTickets[[#This Row],[Customer Satisfaction]]&gt;=4,"Satisfied",IF(tblTickets[[#This Row],[Customer Satisfaction]]=3,"Neutral","Dissatisfied"))</f>
        <v>Satisfied</v>
      </c>
    </row>
    <row r="309" spans="1:14" x14ac:dyDescent="0.35">
      <c r="A309" t="s">
        <v>344</v>
      </c>
      <c r="B309" s="3">
        <v>45698</v>
      </c>
      <c r="C309" s="3">
        <v>45698.116249999999</v>
      </c>
      <c r="D309" t="s">
        <v>23</v>
      </c>
      <c r="E309" t="s">
        <v>17</v>
      </c>
      <c r="F309" t="s">
        <v>14</v>
      </c>
      <c r="G309" t="s">
        <v>21</v>
      </c>
      <c r="H309">
        <v>8</v>
      </c>
      <c r="I309">
        <v>2.79</v>
      </c>
      <c r="J309">
        <v>1.39</v>
      </c>
      <c r="K309">
        <v>4</v>
      </c>
      <c r="L309" t="str">
        <f>IF(tblTickets[[#This Row],[SLA Target (hrs)]]&gt;=tblTickets[[#This Row],[Actual Resolution Time (hrs)]],"Yes","No")</f>
        <v>Yes</v>
      </c>
      <c r="M309">
        <f>(tblTickets[[#This Row],[Resolved Date]]-tblTickets[[#This Row],[Created Date]])*24</f>
        <v>2.7899999999790452</v>
      </c>
      <c r="N309" t="str">
        <f>IF(tblTickets[[#This Row],[Customer Satisfaction]]&gt;=4,"Satisfied",IF(tblTickets[[#This Row],[Customer Satisfaction]]=3,"Neutral","Dissatisfied"))</f>
        <v>Satisfied</v>
      </c>
    </row>
    <row r="310" spans="1:14" x14ac:dyDescent="0.35">
      <c r="A310" t="s">
        <v>22</v>
      </c>
      <c r="B310" s="3">
        <v>45742</v>
      </c>
      <c r="C310" s="3">
        <v>45742.12</v>
      </c>
      <c r="D310" t="s">
        <v>23</v>
      </c>
      <c r="E310" t="s">
        <v>17</v>
      </c>
      <c r="F310" t="s">
        <v>20</v>
      </c>
      <c r="G310" t="s">
        <v>15</v>
      </c>
      <c r="H310">
        <v>8</v>
      </c>
      <c r="I310">
        <v>2.88</v>
      </c>
      <c r="J310">
        <v>1.0900000000000001</v>
      </c>
      <c r="K310">
        <v>4</v>
      </c>
      <c r="L310" t="str">
        <f>IF(tblTickets[[#This Row],[SLA Target (hrs)]]&gt;=tblTickets[[#This Row],[Actual Resolution Time (hrs)]],"Yes","No")</f>
        <v>Yes</v>
      </c>
      <c r="M310">
        <f>(tblTickets[[#This Row],[Resolved Date]]-tblTickets[[#This Row],[Created Date]])*24</f>
        <v>2.8800000000628643</v>
      </c>
      <c r="N310" t="str">
        <f>IF(tblTickets[[#This Row],[Customer Satisfaction]]&gt;=4,"Satisfied",IF(tblTickets[[#This Row],[Customer Satisfaction]]=3,"Neutral","Dissatisfied"))</f>
        <v>Satisfied</v>
      </c>
    </row>
    <row r="311" spans="1:14" x14ac:dyDescent="0.35">
      <c r="A311" t="s">
        <v>522</v>
      </c>
      <c r="B311" s="3">
        <v>45727</v>
      </c>
      <c r="C311" s="3">
        <v>45727.122499999998</v>
      </c>
      <c r="D311" t="s">
        <v>23</v>
      </c>
      <c r="E311" t="s">
        <v>40</v>
      </c>
      <c r="F311" t="s">
        <v>25</v>
      </c>
      <c r="G311" t="s">
        <v>15</v>
      </c>
      <c r="H311">
        <v>24</v>
      </c>
      <c r="I311">
        <v>2.94</v>
      </c>
      <c r="J311">
        <v>2.48</v>
      </c>
      <c r="K311">
        <v>4</v>
      </c>
      <c r="L311" t="str">
        <f>IF(tblTickets[[#This Row],[SLA Target (hrs)]]&gt;=tblTickets[[#This Row],[Actual Resolution Time (hrs)]],"Yes","No")</f>
        <v>Yes</v>
      </c>
      <c r="M311">
        <f>(tblTickets[[#This Row],[Resolved Date]]-tblTickets[[#This Row],[Created Date]])*24</f>
        <v>2.9399999999441206</v>
      </c>
      <c r="N311" t="str">
        <f>IF(tblTickets[[#This Row],[Customer Satisfaction]]&gt;=4,"Satisfied",IF(tblTickets[[#This Row],[Customer Satisfaction]]=3,"Neutral","Dissatisfied"))</f>
        <v>Satisfied</v>
      </c>
    </row>
    <row r="312" spans="1:14" x14ac:dyDescent="0.35">
      <c r="A312" t="s">
        <v>310</v>
      </c>
      <c r="B312" s="3">
        <v>45713</v>
      </c>
      <c r="C312" s="3">
        <v>45713.188333333332</v>
      </c>
      <c r="D312" t="s">
        <v>30</v>
      </c>
      <c r="E312" t="s">
        <v>19</v>
      </c>
      <c r="F312" t="s">
        <v>20</v>
      </c>
      <c r="G312" t="s">
        <v>15</v>
      </c>
      <c r="H312">
        <v>24</v>
      </c>
      <c r="I312">
        <v>4.5199999999999996</v>
      </c>
      <c r="J312">
        <v>6.63</v>
      </c>
      <c r="K312">
        <v>4</v>
      </c>
      <c r="L312" t="str">
        <f>IF(tblTickets[[#This Row],[SLA Target (hrs)]]&gt;=tblTickets[[#This Row],[Actual Resolution Time (hrs)]],"Yes","No")</f>
        <v>Yes</v>
      </c>
      <c r="M312">
        <f>(tblTickets[[#This Row],[Resolved Date]]-tblTickets[[#This Row],[Created Date]])*24</f>
        <v>4.5199999999604188</v>
      </c>
      <c r="N312" t="str">
        <f>IF(tblTickets[[#This Row],[Customer Satisfaction]]&gt;=4,"Satisfied",IF(tblTickets[[#This Row],[Customer Satisfaction]]=3,"Neutral","Dissatisfied"))</f>
        <v>Satisfied</v>
      </c>
    </row>
    <row r="313" spans="1:14" x14ac:dyDescent="0.35">
      <c r="A313" t="s">
        <v>518</v>
      </c>
      <c r="B313" s="3">
        <v>45661</v>
      </c>
      <c r="C313" s="3">
        <v>45661.190416666657</v>
      </c>
      <c r="D313" t="s">
        <v>34</v>
      </c>
      <c r="E313" t="s">
        <v>40</v>
      </c>
      <c r="F313" t="s">
        <v>20</v>
      </c>
      <c r="G313" t="s">
        <v>15</v>
      </c>
      <c r="H313">
        <v>8</v>
      </c>
      <c r="I313">
        <v>4.57</v>
      </c>
      <c r="J313">
        <v>1.69</v>
      </c>
      <c r="K313">
        <v>4</v>
      </c>
      <c r="L313" t="str">
        <f>IF(tblTickets[[#This Row],[SLA Target (hrs)]]&gt;=tblTickets[[#This Row],[Actual Resolution Time (hrs)]],"Yes","No")</f>
        <v>Yes</v>
      </c>
      <c r="M313">
        <f>(tblTickets[[#This Row],[Resolved Date]]-tblTickets[[#This Row],[Created Date]])*24</f>
        <v>4.5699999997741543</v>
      </c>
      <c r="N313" t="str">
        <f>IF(tblTickets[[#This Row],[Customer Satisfaction]]&gt;=4,"Satisfied",IF(tblTickets[[#This Row],[Customer Satisfaction]]=3,"Neutral","Dissatisfied"))</f>
        <v>Satisfied</v>
      </c>
    </row>
    <row r="314" spans="1:14" x14ac:dyDescent="0.35">
      <c r="A314" t="s">
        <v>493</v>
      </c>
      <c r="B314" s="3">
        <v>45732</v>
      </c>
      <c r="C314" s="3">
        <v>45732.26</v>
      </c>
      <c r="D314" t="s">
        <v>12</v>
      </c>
      <c r="E314" t="s">
        <v>40</v>
      </c>
      <c r="F314" t="s">
        <v>45</v>
      </c>
      <c r="G314" t="s">
        <v>26</v>
      </c>
      <c r="H314">
        <v>24</v>
      </c>
      <c r="I314">
        <v>6.24</v>
      </c>
      <c r="J314">
        <v>6.16</v>
      </c>
      <c r="K314">
        <v>4</v>
      </c>
      <c r="L314" t="str">
        <f>IF(tblTickets[[#This Row],[SLA Target (hrs)]]&gt;=tblTickets[[#This Row],[Actual Resolution Time (hrs)]],"Yes","No")</f>
        <v>Yes</v>
      </c>
      <c r="M314">
        <f>(tblTickets[[#This Row],[Resolved Date]]-tblTickets[[#This Row],[Created Date]])*24</f>
        <v>6.2400000000488944</v>
      </c>
      <c r="N314" t="str">
        <f>IF(tblTickets[[#This Row],[Customer Satisfaction]]&gt;=4,"Satisfied",IF(tblTickets[[#This Row],[Customer Satisfaction]]=3,"Neutral","Dissatisfied"))</f>
        <v>Satisfied</v>
      </c>
    </row>
    <row r="315" spans="1:14" x14ac:dyDescent="0.35">
      <c r="A315" t="s">
        <v>315</v>
      </c>
      <c r="B315" s="3">
        <v>45739</v>
      </c>
      <c r="C315" s="3">
        <v>45739.363333333327</v>
      </c>
      <c r="D315" t="s">
        <v>12</v>
      </c>
      <c r="E315" t="s">
        <v>19</v>
      </c>
      <c r="F315" t="s">
        <v>25</v>
      </c>
      <c r="G315" t="s">
        <v>21</v>
      </c>
      <c r="H315">
        <v>24</v>
      </c>
      <c r="I315">
        <v>8.7200000000000006</v>
      </c>
      <c r="J315">
        <v>5.33</v>
      </c>
      <c r="K315">
        <v>4</v>
      </c>
      <c r="L315" t="str">
        <f>IF(tblTickets[[#This Row],[SLA Target (hrs)]]&gt;=tblTickets[[#This Row],[Actual Resolution Time (hrs)]],"Yes","No")</f>
        <v>Yes</v>
      </c>
      <c r="M315">
        <f>(tblTickets[[#This Row],[Resolved Date]]-tblTickets[[#This Row],[Created Date]])*24</f>
        <v>8.719999999855645</v>
      </c>
      <c r="N315" t="str">
        <f>IF(tblTickets[[#This Row],[Customer Satisfaction]]&gt;=4,"Satisfied",IF(tblTickets[[#This Row],[Customer Satisfaction]]=3,"Neutral","Dissatisfied"))</f>
        <v>Satisfied</v>
      </c>
    </row>
    <row r="316" spans="1:14" x14ac:dyDescent="0.35">
      <c r="A316" t="s">
        <v>49</v>
      </c>
      <c r="B316" s="3">
        <v>45729</v>
      </c>
      <c r="C316" s="3">
        <v>45729.434999999998</v>
      </c>
      <c r="D316" t="s">
        <v>30</v>
      </c>
      <c r="E316" t="s">
        <v>19</v>
      </c>
      <c r="F316" t="s">
        <v>25</v>
      </c>
      <c r="G316" t="s">
        <v>26</v>
      </c>
      <c r="H316">
        <v>24</v>
      </c>
      <c r="I316">
        <v>10.44</v>
      </c>
      <c r="J316">
        <v>3.66</v>
      </c>
      <c r="K316">
        <v>4</v>
      </c>
      <c r="L316" t="str">
        <f>IF(tblTickets[[#This Row],[SLA Target (hrs)]]&gt;=tblTickets[[#This Row],[Actual Resolution Time (hrs)]],"Yes","No")</f>
        <v>Yes</v>
      </c>
      <c r="M316">
        <f>(tblTickets[[#This Row],[Resolved Date]]-tblTickets[[#This Row],[Created Date]])*24</f>
        <v>10.439999999944121</v>
      </c>
      <c r="N316" t="str">
        <f>IF(tblTickets[[#This Row],[Customer Satisfaction]]&gt;=4,"Satisfied",IF(tblTickets[[#This Row],[Customer Satisfaction]]=3,"Neutral","Dissatisfied"))</f>
        <v>Satisfied</v>
      </c>
    </row>
    <row r="317" spans="1:14" x14ac:dyDescent="0.35">
      <c r="A317" t="s">
        <v>71</v>
      </c>
      <c r="B317" s="3">
        <v>45661</v>
      </c>
      <c r="C317" s="3">
        <v>45661.602500000001</v>
      </c>
      <c r="D317" t="s">
        <v>30</v>
      </c>
      <c r="E317" t="s">
        <v>13</v>
      </c>
      <c r="F317" t="s">
        <v>14</v>
      </c>
      <c r="G317" t="s">
        <v>21</v>
      </c>
      <c r="H317">
        <v>24</v>
      </c>
      <c r="I317">
        <v>14.46</v>
      </c>
      <c r="J317">
        <v>4.6900000000000004</v>
      </c>
      <c r="K317">
        <v>4</v>
      </c>
      <c r="L317" t="str">
        <f>IF(tblTickets[[#This Row],[SLA Target (hrs)]]&gt;=tblTickets[[#This Row],[Actual Resolution Time (hrs)]],"Yes","No")</f>
        <v>Yes</v>
      </c>
      <c r="M317">
        <f>(tblTickets[[#This Row],[Resolved Date]]-tblTickets[[#This Row],[Created Date]])*24</f>
        <v>14.460000000020955</v>
      </c>
      <c r="N317" t="str">
        <f>IF(tblTickets[[#This Row],[Customer Satisfaction]]&gt;=4,"Satisfied",IF(tblTickets[[#This Row],[Customer Satisfaction]]=3,"Neutral","Dissatisfied"))</f>
        <v>Satisfied</v>
      </c>
    </row>
    <row r="318" spans="1:14" x14ac:dyDescent="0.35">
      <c r="A318" t="s">
        <v>215</v>
      </c>
      <c r="B318" s="3">
        <v>45724</v>
      </c>
      <c r="C318" s="3">
        <v>45724.642500000002</v>
      </c>
      <c r="D318" t="s">
        <v>23</v>
      </c>
      <c r="E318" t="s">
        <v>40</v>
      </c>
      <c r="F318" t="s">
        <v>25</v>
      </c>
      <c r="G318" t="s">
        <v>21</v>
      </c>
      <c r="H318">
        <v>24</v>
      </c>
      <c r="I318">
        <v>15.42</v>
      </c>
      <c r="J318">
        <v>3.21</v>
      </c>
      <c r="K318">
        <v>4</v>
      </c>
      <c r="L318" t="str">
        <f>IF(tblTickets[[#This Row],[SLA Target (hrs)]]&gt;=tblTickets[[#This Row],[Actual Resolution Time (hrs)]],"Yes","No")</f>
        <v>Yes</v>
      </c>
      <c r="M318">
        <f>(tblTickets[[#This Row],[Resolved Date]]-tblTickets[[#This Row],[Created Date]])*24</f>
        <v>15.42000000004191</v>
      </c>
      <c r="N318" t="str">
        <f>IF(tblTickets[[#This Row],[Customer Satisfaction]]&gt;=4,"Satisfied",IF(tblTickets[[#This Row],[Customer Satisfaction]]=3,"Neutral","Dissatisfied"))</f>
        <v>Satisfied</v>
      </c>
    </row>
    <row r="319" spans="1:14" x14ac:dyDescent="0.35">
      <c r="A319" t="s">
        <v>352</v>
      </c>
      <c r="B319" s="3">
        <v>45705</v>
      </c>
      <c r="C319" s="3">
        <v>45705.667083333326</v>
      </c>
      <c r="D319" t="s">
        <v>23</v>
      </c>
      <c r="E319" t="s">
        <v>19</v>
      </c>
      <c r="F319" t="s">
        <v>45</v>
      </c>
      <c r="G319" t="s">
        <v>26</v>
      </c>
      <c r="H319">
        <v>24</v>
      </c>
      <c r="I319">
        <v>16.010000000000002</v>
      </c>
      <c r="J319">
        <v>6.16</v>
      </c>
      <c r="K319">
        <v>4</v>
      </c>
      <c r="L319" t="str">
        <f>IF(tblTickets[[#This Row],[SLA Target (hrs)]]&gt;=tblTickets[[#This Row],[Actual Resolution Time (hrs)]],"Yes","No")</f>
        <v>Yes</v>
      </c>
      <c r="M319">
        <f>(tblTickets[[#This Row],[Resolved Date]]-tblTickets[[#This Row],[Created Date]])*24</f>
        <v>16.00999999983469</v>
      </c>
      <c r="N319" t="str">
        <f>IF(tblTickets[[#This Row],[Customer Satisfaction]]&gt;=4,"Satisfied",IF(tblTickets[[#This Row],[Customer Satisfaction]]=3,"Neutral","Dissatisfied"))</f>
        <v>Satisfied</v>
      </c>
    </row>
    <row r="320" spans="1:14" x14ac:dyDescent="0.35">
      <c r="A320" t="s">
        <v>421</v>
      </c>
      <c r="B320" s="3">
        <v>45718</v>
      </c>
      <c r="C320" s="3">
        <v>45718.732916666668</v>
      </c>
      <c r="D320" t="s">
        <v>12</v>
      </c>
      <c r="E320" t="s">
        <v>40</v>
      </c>
      <c r="F320" t="s">
        <v>14</v>
      </c>
      <c r="G320" t="s">
        <v>15</v>
      </c>
      <c r="H320">
        <v>24</v>
      </c>
      <c r="I320">
        <v>17.59</v>
      </c>
      <c r="J320">
        <v>2.88</v>
      </c>
      <c r="K320">
        <v>4</v>
      </c>
      <c r="L320" t="str">
        <f>IF(tblTickets[[#This Row],[SLA Target (hrs)]]&gt;=tblTickets[[#This Row],[Actual Resolution Time (hrs)]],"Yes","No")</f>
        <v>Yes</v>
      </c>
      <c r="M320">
        <f>(tblTickets[[#This Row],[Resolved Date]]-tblTickets[[#This Row],[Created Date]])*24</f>
        <v>17.590000000025611</v>
      </c>
      <c r="N320" t="str">
        <f>IF(tblTickets[[#This Row],[Customer Satisfaction]]&gt;=4,"Satisfied",IF(tblTickets[[#This Row],[Customer Satisfaction]]=3,"Neutral","Dissatisfied"))</f>
        <v>Satisfied</v>
      </c>
    </row>
    <row r="321" spans="1:14" x14ac:dyDescent="0.35">
      <c r="A321" t="s">
        <v>428</v>
      </c>
      <c r="B321" s="3">
        <v>45699</v>
      </c>
      <c r="C321" s="3">
        <v>45699.759166666663</v>
      </c>
      <c r="D321" t="s">
        <v>34</v>
      </c>
      <c r="E321" t="s">
        <v>17</v>
      </c>
      <c r="F321" t="s">
        <v>45</v>
      </c>
      <c r="G321" t="s">
        <v>21</v>
      </c>
      <c r="H321">
        <v>24</v>
      </c>
      <c r="I321">
        <v>18.22</v>
      </c>
      <c r="J321">
        <v>7.58</v>
      </c>
      <c r="K321">
        <v>4</v>
      </c>
      <c r="L321" t="str">
        <f>IF(tblTickets[[#This Row],[SLA Target (hrs)]]&gt;=tblTickets[[#This Row],[Actual Resolution Time (hrs)]],"Yes","No")</f>
        <v>Yes</v>
      </c>
      <c r="M321">
        <f>(tblTickets[[#This Row],[Resolved Date]]-tblTickets[[#This Row],[Created Date]])*24</f>
        <v>18.219999999913853</v>
      </c>
      <c r="N321" t="str">
        <f>IF(tblTickets[[#This Row],[Customer Satisfaction]]&gt;=4,"Satisfied",IF(tblTickets[[#This Row],[Customer Satisfaction]]=3,"Neutral","Dissatisfied"))</f>
        <v>Satisfied</v>
      </c>
    </row>
    <row r="322" spans="1:14" x14ac:dyDescent="0.35">
      <c r="A322" t="s">
        <v>512</v>
      </c>
      <c r="B322" s="3">
        <v>45718</v>
      </c>
      <c r="C322" s="3">
        <v>45718.815000000002</v>
      </c>
      <c r="D322" t="s">
        <v>12</v>
      </c>
      <c r="E322" t="s">
        <v>19</v>
      </c>
      <c r="F322" t="s">
        <v>25</v>
      </c>
      <c r="G322" t="s">
        <v>15</v>
      </c>
      <c r="H322">
        <v>24</v>
      </c>
      <c r="I322">
        <v>19.559999999999999</v>
      </c>
      <c r="J322">
        <v>1.41</v>
      </c>
      <c r="K322">
        <v>4</v>
      </c>
      <c r="L322" t="str">
        <f>IF(tblTickets[[#This Row],[SLA Target (hrs)]]&gt;=tblTickets[[#This Row],[Actual Resolution Time (hrs)]],"Yes","No")</f>
        <v>Yes</v>
      </c>
      <c r="M322">
        <f>(tblTickets[[#This Row],[Resolved Date]]-tblTickets[[#This Row],[Created Date]])*24</f>
        <v>19.560000000055879</v>
      </c>
      <c r="N322" t="str">
        <f>IF(tblTickets[[#This Row],[Customer Satisfaction]]&gt;=4,"Satisfied",IF(tblTickets[[#This Row],[Customer Satisfaction]]=3,"Neutral","Dissatisfied"))</f>
        <v>Satisfied</v>
      </c>
    </row>
    <row r="323" spans="1:14" x14ac:dyDescent="0.35">
      <c r="A323" t="s">
        <v>24</v>
      </c>
      <c r="B323" s="3">
        <v>45709</v>
      </c>
      <c r="C323" s="3">
        <v>45709.915000000001</v>
      </c>
      <c r="D323" t="s">
        <v>12</v>
      </c>
      <c r="E323" t="s">
        <v>17</v>
      </c>
      <c r="F323" t="s">
        <v>25</v>
      </c>
      <c r="G323" t="s">
        <v>26</v>
      </c>
      <c r="H323">
        <v>24</v>
      </c>
      <c r="I323">
        <v>21.96</v>
      </c>
      <c r="J323">
        <v>1.45</v>
      </c>
      <c r="K323">
        <v>4</v>
      </c>
      <c r="L323" t="str">
        <f>IF(tblTickets[[#This Row],[SLA Target (hrs)]]&gt;=tblTickets[[#This Row],[Actual Resolution Time (hrs)]],"Yes","No")</f>
        <v>Yes</v>
      </c>
      <c r="M323">
        <f>(tblTickets[[#This Row],[Resolved Date]]-tblTickets[[#This Row],[Created Date]])*24</f>
        <v>21.960000000020955</v>
      </c>
      <c r="N323" t="str">
        <f>IF(tblTickets[[#This Row],[Customer Satisfaction]]&gt;=4,"Satisfied",IF(tblTickets[[#This Row],[Customer Satisfaction]]=3,"Neutral","Dissatisfied"))</f>
        <v>Satisfied</v>
      </c>
    </row>
    <row r="324" spans="1:14" x14ac:dyDescent="0.35">
      <c r="A324" t="s">
        <v>437</v>
      </c>
      <c r="B324" s="3">
        <v>45698</v>
      </c>
      <c r="C324" s="3">
        <v>45698.921249999999</v>
      </c>
      <c r="D324" t="s">
        <v>30</v>
      </c>
      <c r="E324" t="s">
        <v>17</v>
      </c>
      <c r="F324" t="s">
        <v>25</v>
      </c>
      <c r="G324" t="s">
        <v>21</v>
      </c>
      <c r="H324">
        <v>24</v>
      </c>
      <c r="I324">
        <v>22.11</v>
      </c>
      <c r="J324">
        <v>6.84</v>
      </c>
      <c r="K324">
        <v>4</v>
      </c>
      <c r="L324" t="str">
        <f>IF(tblTickets[[#This Row],[SLA Target (hrs)]]&gt;=tblTickets[[#This Row],[Actual Resolution Time (hrs)]],"Yes","No")</f>
        <v>Yes</v>
      </c>
      <c r="M324">
        <f>(tblTickets[[#This Row],[Resolved Date]]-tblTickets[[#This Row],[Created Date]])*24</f>
        <v>22.10999999998603</v>
      </c>
      <c r="N324" t="str">
        <f>IF(tblTickets[[#This Row],[Customer Satisfaction]]&gt;=4,"Satisfied",IF(tblTickets[[#This Row],[Customer Satisfaction]]=3,"Neutral","Dissatisfied"))</f>
        <v>Satisfied</v>
      </c>
    </row>
    <row r="325" spans="1:14" x14ac:dyDescent="0.35">
      <c r="A325" t="s">
        <v>278</v>
      </c>
      <c r="B325" s="3">
        <v>45717</v>
      </c>
      <c r="C325" s="3">
        <v>45717.934166666673</v>
      </c>
      <c r="D325" t="s">
        <v>23</v>
      </c>
      <c r="E325" t="s">
        <v>13</v>
      </c>
      <c r="F325" t="s">
        <v>25</v>
      </c>
      <c r="G325" t="s">
        <v>26</v>
      </c>
      <c r="H325">
        <v>24</v>
      </c>
      <c r="I325">
        <v>22.42</v>
      </c>
      <c r="J325">
        <v>7.63</v>
      </c>
      <c r="K325">
        <v>4</v>
      </c>
      <c r="L325" t="str">
        <f>IF(tblTickets[[#This Row],[SLA Target (hrs)]]&gt;=tblTickets[[#This Row],[Actual Resolution Time (hrs)]],"Yes","No")</f>
        <v>Yes</v>
      </c>
      <c r="M325">
        <f>(tblTickets[[#This Row],[Resolved Date]]-tblTickets[[#This Row],[Created Date]])*24</f>
        <v>22.420000000158325</v>
      </c>
      <c r="N325" t="str">
        <f>IF(tblTickets[[#This Row],[Customer Satisfaction]]&gt;=4,"Satisfied",IF(tblTickets[[#This Row],[Customer Satisfaction]]=3,"Neutral","Dissatisfied"))</f>
        <v>Satisfied</v>
      </c>
    </row>
    <row r="326" spans="1:14" x14ac:dyDescent="0.35">
      <c r="A326" t="s">
        <v>91</v>
      </c>
      <c r="B326" s="3">
        <v>45708</v>
      </c>
      <c r="C326" s="3">
        <v>45708.997499999998</v>
      </c>
      <c r="D326" t="s">
        <v>30</v>
      </c>
      <c r="E326" t="s">
        <v>17</v>
      </c>
      <c r="F326" t="s">
        <v>41</v>
      </c>
      <c r="G326" t="s">
        <v>15</v>
      </c>
      <c r="H326">
        <v>24</v>
      </c>
      <c r="I326">
        <v>23.94</v>
      </c>
      <c r="J326">
        <v>2.15</v>
      </c>
      <c r="K326">
        <v>4</v>
      </c>
      <c r="L326" t="str">
        <f>IF(tblTickets[[#This Row],[SLA Target (hrs)]]&gt;=tblTickets[[#This Row],[Actual Resolution Time (hrs)]],"Yes","No")</f>
        <v>Yes</v>
      </c>
      <c r="M326">
        <f>(tblTickets[[#This Row],[Resolved Date]]-tblTickets[[#This Row],[Created Date]])*24</f>
        <v>23.939999999944121</v>
      </c>
      <c r="N326" t="str">
        <f>IF(tblTickets[[#This Row],[Customer Satisfaction]]&gt;=4,"Satisfied",IF(tblTickets[[#This Row],[Customer Satisfaction]]=3,"Neutral","Dissatisfied"))</f>
        <v>Satisfied</v>
      </c>
    </row>
    <row r="327" spans="1:14" x14ac:dyDescent="0.35">
      <c r="A327" t="s">
        <v>114</v>
      </c>
      <c r="B327" s="3">
        <v>45746</v>
      </c>
      <c r="C327" s="3">
        <v>45747.464999999997</v>
      </c>
      <c r="D327" t="s">
        <v>34</v>
      </c>
      <c r="E327" t="s">
        <v>40</v>
      </c>
      <c r="F327" t="s">
        <v>41</v>
      </c>
      <c r="G327" t="s">
        <v>15</v>
      </c>
      <c r="H327">
        <v>4</v>
      </c>
      <c r="I327">
        <v>35.159999999999997</v>
      </c>
      <c r="J327">
        <v>7.79</v>
      </c>
      <c r="K327">
        <v>4</v>
      </c>
      <c r="L327" t="str">
        <f>IF(tblTickets[[#This Row],[SLA Target (hrs)]]&gt;=tblTickets[[#This Row],[Actual Resolution Time (hrs)]],"Yes","No")</f>
        <v>No</v>
      </c>
      <c r="M327">
        <f>(tblTickets[[#This Row],[Resolved Date]]-tblTickets[[#This Row],[Created Date]])*24</f>
        <v>35.159999999916181</v>
      </c>
      <c r="N327" t="str">
        <f>IF(tblTickets[[#This Row],[Customer Satisfaction]]&gt;=4,"Satisfied",IF(tblTickets[[#This Row],[Customer Satisfaction]]=3,"Neutral","Dissatisfied"))</f>
        <v>Satisfied</v>
      </c>
    </row>
    <row r="328" spans="1:14" x14ac:dyDescent="0.35">
      <c r="A328" t="s">
        <v>35</v>
      </c>
      <c r="B328" s="3">
        <v>45733</v>
      </c>
      <c r="C328" s="3">
        <v>45734.46875</v>
      </c>
      <c r="D328" t="s">
        <v>30</v>
      </c>
      <c r="E328" t="s">
        <v>13</v>
      </c>
      <c r="F328" t="s">
        <v>14</v>
      </c>
      <c r="G328" t="s">
        <v>15</v>
      </c>
      <c r="H328">
        <v>4</v>
      </c>
      <c r="I328">
        <v>35.25</v>
      </c>
      <c r="J328">
        <v>4.92</v>
      </c>
      <c r="K328">
        <v>4</v>
      </c>
      <c r="L328" t="str">
        <f>IF(tblTickets[[#This Row],[SLA Target (hrs)]]&gt;=tblTickets[[#This Row],[Actual Resolution Time (hrs)]],"Yes","No")</f>
        <v>No</v>
      </c>
      <c r="M328">
        <f>(tblTickets[[#This Row],[Resolved Date]]-tblTickets[[#This Row],[Created Date]])*24</f>
        <v>35.25</v>
      </c>
      <c r="N328" t="str">
        <f>IF(tblTickets[[#This Row],[Customer Satisfaction]]&gt;=4,"Satisfied",IF(tblTickets[[#This Row],[Customer Satisfaction]]=3,"Neutral","Dissatisfied"))</f>
        <v>Satisfied</v>
      </c>
    </row>
    <row r="329" spans="1:14" x14ac:dyDescent="0.35">
      <c r="A329" t="s">
        <v>224</v>
      </c>
      <c r="B329" s="3">
        <v>45670</v>
      </c>
      <c r="C329" s="3">
        <v>45671.497083333343</v>
      </c>
      <c r="D329" t="s">
        <v>30</v>
      </c>
      <c r="E329" t="s">
        <v>17</v>
      </c>
      <c r="F329" t="s">
        <v>25</v>
      </c>
      <c r="G329" t="s">
        <v>26</v>
      </c>
      <c r="H329">
        <v>4</v>
      </c>
      <c r="I329">
        <v>35.93</v>
      </c>
      <c r="J329">
        <v>2.89</v>
      </c>
      <c r="K329">
        <v>4</v>
      </c>
      <c r="L329" t="str">
        <f>IF(tblTickets[[#This Row],[SLA Target (hrs)]]&gt;=tblTickets[[#This Row],[Actual Resolution Time (hrs)]],"Yes","No")</f>
        <v>No</v>
      </c>
      <c r="M329">
        <f>(tblTickets[[#This Row],[Resolved Date]]-tblTickets[[#This Row],[Created Date]])*24</f>
        <v>35.930000000225846</v>
      </c>
      <c r="N329" t="str">
        <f>IF(tblTickets[[#This Row],[Customer Satisfaction]]&gt;=4,"Satisfied",IF(tblTickets[[#This Row],[Customer Satisfaction]]=3,"Neutral","Dissatisfied"))</f>
        <v>Satisfied</v>
      </c>
    </row>
    <row r="330" spans="1:14" x14ac:dyDescent="0.35">
      <c r="A330" t="s">
        <v>253</v>
      </c>
      <c r="B330" s="3">
        <v>45720</v>
      </c>
      <c r="C330" s="3">
        <v>45721.522083333337</v>
      </c>
      <c r="D330" t="s">
        <v>34</v>
      </c>
      <c r="E330" t="s">
        <v>40</v>
      </c>
      <c r="F330" t="s">
        <v>25</v>
      </c>
      <c r="G330" t="s">
        <v>26</v>
      </c>
      <c r="H330">
        <v>4</v>
      </c>
      <c r="I330">
        <v>36.53</v>
      </c>
      <c r="J330">
        <v>7.94</v>
      </c>
      <c r="K330">
        <v>4</v>
      </c>
      <c r="L330" t="str">
        <f>IF(tblTickets[[#This Row],[SLA Target (hrs)]]&gt;=tblTickets[[#This Row],[Actual Resolution Time (hrs)]],"Yes","No")</f>
        <v>No</v>
      </c>
      <c r="M330">
        <f>(tblTickets[[#This Row],[Resolved Date]]-tblTickets[[#This Row],[Created Date]])*24</f>
        <v>36.530000000086147</v>
      </c>
      <c r="N330" t="str">
        <f>IF(tblTickets[[#This Row],[Customer Satisfaction]]&gt;=4,"Satisfied",IF(tblTickets[[#This Row],[Customer Satisfaction]]=3,"Neutral","Dissatisfied"))</f>
        <v>Satisfied</v>
      </c>
    </row>
    <row r="331" spans="1:14" x14ac:dyDescent="0.35">
      <c r="A331" t="s">
        <v>204</v>
      </c>
      <c r="B331" s="3">
        <v>45693</v>
      </c>
      <c r="C331" s="3">
        <v>45694.522916666669</v>
      </c>
      <c r="D331" t="s">
        <v>23</v>
      </c>
      <c r="E331" t="s">
        <v>13</v>
      </c>
      <c r="F331" t="s">
        <v>45</v>
      </c>
      <c r="G331" t="s">
        <v>26</v>
      </c>
      <c r="H331">
        <v>24</v>
      </c>
      <c r="I331">
        <v>36.549999999999997</v>
      </c>
      <c r="J331">
        <v>4.8600000000000003</v>
      </c>
      <c r="K331">
        <v>4</v>
      </c>
      <c r="L331" t="str">
        <f>IF(tblTickets[[#This Row],[SLA Target (hrs)]]&gt;=tblTickets[[#This Row],[Actual Resolution Time (hrs)]],"Yes","No")</f>
        <v>No</v>
      </c>
      <c r="M331">
        <f>(tblTickets[[#This Row],[Resolved Date]]-tblTickets[[#This Row],[Created Date]])*24</f>
        <v>36.550000000046566</v>
      </c>
      <c r="N331" t="str">
        <f>IF(tblTickets[[#This Row],[Customer Satisfaction]]&gt;=4,"Satisfied",IF(tblTickets[[#This Row],[Customer Satisfaction]]=3,"Neutral","Dissatisfied"))</f>
        <v>Satisfied</v>
      </c>
    </row>
    <row r="332" spans="1:14" x14ac:dyDescent="0.35">
      <c r="A332" t="s">
        <v>392</v>
      </c>
      <c r="B332" s="3">
        <v>45679</v>
      </c>
      <c r="C332" s="3">
        <v>45680.542500000003</v>
      </c>
      <c r="D332" t="s">
        <v>23</v>
      </c>
      <c r="E332" t="s">
        <v>13</v>
      </c>
      <c r="F332" t="s">
        <v>20</v>
      </c>
      <c r="G332" t="s">
        <v>21</v>
      </c>
      <c r="H332">
        <v>4</v>
      </c>
      <c r="I332">
        <v>37.020000000000003</v>
      </c>
      <c r="J332">
        <v>6.44</v>
      </c>
      <c r="K332">
        <v>4</v>
      </c>
      <c r="L332" t="str">
        <f>IF(tblTickets[[#This Row],[SLA Target (hrs)]]&gt;=tblTickets[[#This Row],[Actual Resolution Time (hrs)]],"Yes","No")</f>
        <v>No</v>
      </c>
      <c r="M332">
        <f>(tblTickets[[#This Row],[Resolved Date]]-tblTickets[[#This Row],[Created Date]])*24</f>
        <v>37.020000000076834</v>
      </c>
      <c r="N332" t="str">
        <f>IF(tblTickets[[#This Row],[Customer Satisfaction]]&gt;=4,"Satisfied",IF(tblTickets[[#This Row],[Customer Satisfaction]]=3,"Neutral","Dissatisfied"))</f>
        <v>Satisfied</v>
      </c>
    </row>
    <row r="333" spans="1:14" x14ac:dyDescent="0.35">
      <c r="A333" t="s">
        <v>79</v>
      </c>
      <c r="B333" s="3">
        <v>45736</v>
      </c>
      <c r="C333" s="3">
        <v>45737.624583333331</v>
      </c>
      <c r="D333" t="s">
        <v>12</v>
      </c>
      <c r="E333" t="s">
        <v>40</v>
      </c>
      <c r="F333" t="s">
        <v>25</v>
      </c>
      <c r="G333" t="s">
        <v>21</v>
      </c>
      <c r="H333">
        <v>8</v>
      </c>
      <c r="I333">
        <v>38.99</v>
      </c>
      <c r="J333">
        <v>7.48</v>
      </c>
      <c r="K333">
        <v>4</v>
      </c>
      <c r="L333" t="str">
        <f>IF(tblTickets[[#This Row],[SLA Target (hrs)]]&gt;=tblTickets[[#This Row],[Actual Resolution Time (hrs)]],"Yes","No")</f>
        <v>No</v>
      </c>
      <c r="M333">
        <f>(tblTickets[[#This Row],[Resolved Date]]-tblTickets[[#This Row],[Created Date]])*24</f>
        <v>38.989999999932479</v>
      </c>
      <c r="N333" t="str">
        <f>IF(tblTickets[[#This Row],[Customer Satisfaction]]&gt;=4,"Satisfied",IF(tblTickets[[#This Row],[Customer Satisfaction]]=3,"Neutral","Dissatisfied"))</f>
        <v>Satisfied</v>
      </c>
    </row>
    <row r="334" spans="1:14" x14ac:dyDescent="0.35">
      <c r="A334" t="s">
        <v>425</v>
      </c>
      <c r="B334" s="3">
        <v>45728</v>
      </c>
      <c r="C334" s="3">
        <v>45729.64</v>
      </c>
      <c r="D334" t="s">
        <v>34</v>
      </c>
      <c r="E334" t="s">
        <v>19</v>
      </c>
      <c r="F334" t="s">
        <v>25</v>
      </c>
      <c r="G334" t="s">
        <v>15</v>
      </c>
      <c r="H334">
        <v>4</v>
      </c>
      <c r="I334">
        <v>39.36</v>
      </c>
      <c r="J334">
        <v>6.57</v>
      </c>
      <c r="K334">
        <v>4</v>
      </c>
      <c r="L334" t="str">
        <f>IF(tblTickets[[#This Row],[SLA Target (hrs)]]&gt;=tblTickets[[#This Row],[Actual Resolution Time (hrs)]],"Yes","No")</f>
        <v>No</v>
      </c>
      <c r="M334">
        <f>(tblTickets[[#This Row],[Resolved Date]]-tblTickets[[#This Row],[Created Date]])*24</f>
        <v>39.35999999998603</v>
      </c>
      <c r="N334" t="str">
        <f>IF(tblTickets[[#This Row],[Customer Satisfaction]]&gt;=4,"Satisfied",IF(tblTickets[[#This Row],[Customer Satisfaction]]=3,"Neutral","Dissatisfied"))</f>
        <v>Satisfied</v>
      </c>
    </row>
    <row r="335" spans="1:14" x14ac:dyDescent="0.35">
      <c r="A335" t="s">
        <v>450</v>
      </c>
      <c r="B335" s="3">
        <v>45716</v>
      </c>
      <c r="C335" s="3">
        <v>45717.671666666669</v>
      </c>
      <c r="D335" t="s">
        <v>34</v>
      </c>
      <c r="E335" t="s">
        <v>13</v>
      </c>
      <c r="F335" t="s">
        <v>41</v>
      </c>
      <c r="G335" t="s">
        <v>21</v>
      </c>
      <c r="H335">
        <v>8</v>
      </c>
      <c r="I335">
        <v>40.119999999999997</v>
      </c>
      <c r="J335">
        <v>5.1100000000000003</v>
      </c>
      <c r="K335">
        <v>4</v>
      </c>
      <c r="L335" t="str">
        <f>IF(tblTickets[[#This Row],[SLA Target (hrs)]]&gt;=tblTickets[[#This Row],[Actual Resolution Time (hrs)]],"Yes","No")</f>
        <v>No</v>
      </c>
      <c r="M335">
        <f>(tblTickets[[#This Row],[Resolved Date]]-tblTickets[[#This Row],[Created Date]])*24</f>
        <v>40.120000000053551</v>
      </c>
      <c r="N335" t="str">
        <f>IF(tblTickets[[#This Row],[Customer Satisfaction]]&gt;=4,"Satisfied",IF(tblTickets[[#This Row],[Customer Satisfaction]]=3,"Neutral","Dissatisfied"))</f>
        <v>Satisfied</v>
      </c>
    </row>
    <row r="336" spans="1:14" x14ac:dyDescent="0.35">
      <c r="A336" t="s">
        <v>473</v>
      </c>
      <c r="B336" s="3">
        <v>45724</v>
      </c>
      <c r="C336" s="3">
        <v>45725.6875</v>
      </c>
      <c r="D336" t="s">
        <v>30</v>
      </c>
      <c r="E336" t="s">
        <v>19</v>
      </c>
      <c r="F336" t="s">
        <v>25</v>
      </c>
      <c r="G336" t="s">
        <v>15</v>
      </c>
      <c r="H336">
        <v>8</v>
      </c>
      <c r="I336">
        <v>40.5</v>
      </c>
      <c r="J336">
        <v>4.3099999999999996</v>
      </c>
      <c r="K336">
        <v>4</v>
      </c>
      <c r="L336" t="str">
        <f>IF(tblTickets[[#This Row],[SLA Target (hrs)]]&gt;=tblTickets[[#This Row],[Actual Resolution Time (hrs)]],"Yes","No")</f>
        <v>No</v>
      </c>
      <c r="M336">
        <f>(tblTickets[[#This Row],[Resolved Date]]-tblTickets[[#This Row],[Created Date]])*24</f>
        <v>40.5</v>
      </c>
      <c r="N336" t="str">
        <f>IF(tblTickets[[#This Row],[Customer Satisfaction]]&gt;=4,"Satisfied",IF(tblTickets[[#This Row],[Customer Satisfaction]]=3,"Neutral","Dissatisfied"))</f>
        <v>Satisfied</v>
      </c>
    </row>
    <row r="337" spans="1:14" x14ac:dyDescent="0.35">
      <c r="A337" t="s">
        <v>413</v>
      </c>
      <c r="B337" s="3">
        <v>45722</v>
      </c>
      <c r="C337" s="3">
        <v>45723.702916666669</v>
      </c>
      <c r="D337" t="s">
        <v>34</v>
      </c>
      <c r="E337" t="s">
        <v>19</v>
      </c>
      <c r="F337" t="s">
        <v>20</v>
      </c>
      <c r="G337" t="s">
        <v>21</v>
      </c>
      <c r="H337">
        <v>4</v>
      </c>
      <c r="I337">
        <v>40.869999999999997</v>
      </c>
      <c r="J337">
        <v>3.54</v>
      </c>
      <c r="K337">
        <v>4</v>
      </c>
      <c r="L337" t="str">
        <f>IF(tblTickets[[#This Row],[SLA Target (hrs)]]&gt;=tblTickets[[#This Row],[Actual Resolution Time (hrs)]],"Yes","No")</f>
        <v>No</v>
      </c>
      <c r="M337">
        <f>(tblTickets[[#This Row],[Resolved Date]]-tblTickets[[#This Row],[Created Date]])*24</f>
        <v>40.870000000053551</v>
      </c>
      <c r="N337" t="str">
        <f>IF(tblTickets[[#This Row],[Customer Satisfaction]]&gt;=4,"Satisfied",IF(tblTickets[[#This Row],[Customer Satisfaction]]=3,"Neutral","Dissatisfied"))</f>
        <v>Satisfied</v>
      </c>
    </row>
    <row r="338" spans="1:14" x14ac:dyDescent="0.35">
      <c r="A338" t="s">
        <v>478</v>
      </c>
      <c r="B338" s="3">
        <v>45668</v>
      </c>
      <c r="C338" s="3">
        <v>45669.732916666668</v>
      </c>
      <c r="D338" t="s">
        <v>34</v>
      </c>
      <c r="E338" t="s">
        <v>40</v>
      </c>
      <c r="F338" t="s">
        <v>25</v>
      </c>
      <c r="G338" t="s">
        <v>21</v>
      </c>
      <c r="H338">
        <v>24</v>
      </c>
      <c r="I338">
        <v>41.59</v>
      </c>
      <c r="J338">
        <v>3.32</v>
      </c>
      <c r="K338">
        <v>4</v>
      </c>
      <c r="L338" t="str">
        <f>IF(tblTickets[[#This Row],[SLA Target (hrs)]]&gt;=tblTickets[[#This Row],[Actual Resolution Time (hrs)]],"Yes","No")</f>
        <v>No</v>
      </c>
      <c r="M338">
        <f>(tblTickets[[#This Row],[Resolved Date]]-tblTickets[[#This Row],[Created Date]])*24</f>
        <v>41.590000000025611</v>
      </c>
      <c r="N338" t="str">
        <f>IF(tblTickets[[#This Row],[Customer Satisfaction]]&gt;=4,"Satisfied",IF(tblTickets[[#This Row],[Customer Satisfaction]]=3,"Neutral","Dissatisfied"))</f>
        <v>Satisfied</v>
      </c>
    </row>
    <row r="339" spans="1:14" x14ac:dyDescent="0.35">
      <c r="A339" t="s">
        <v>63</v>
      </c>
      <c r="B339" s="3">
        <v>45695</v>
      </c>
      <c r="C339" s="3">
        <v>45696.757916666669</v>
      </c>
      <c r="D339" t="s">
        <v>34</v>
      </c>
      <c r="E339" t="s">
        <v>40</v>
      </c>
      <c r="F339" t="s">
        <v>41</v>
      </c>
      <c r="G339" t="s">
        <v>26</v>
      </c>
      <c r="H339">
        <v>8</v>
      </c>
      <c r="I339">
        <v>42.19</v>
      </c>
      <c r="J339">
        <v>7.88</v>
      </c>
      <c r="K339">
        <v>4</v>
      </c>
      <c r="L339" t="str">
        <f>IF(tblTickets[[#This Row],[SLA Target (hrs)]]&gt;=tblTickets[[#This Row],[Actual Resolution Time (hrs)]],"Yes","No")</f>
        <v>No</v>
      </c>
      <c r="M339">
        <f>(tblTickets[[#This Row],[Resolved Date]]-tblTickets[[#This Row],[Created Date]])*24</f>
        <v>42.190000000060536</v>
      </c>
      <c r="N339" t="str">
        <f>IF(tblTickets[[#This Row],[Customer Satisfaction]]&gt;=4,"Satisfied",IF(tblTickets[[#This Row],[Customer Satisfaction]]=3,"Neutral","Dissatisfied"))</f>
        <v>Satisfied</v>
      </c>
    </row>
    <row r="340" spans="1:14" x14ac:dyDescent="0.35">
      <c r="A340" t="s">
        <v>110</v>
      </c>
      <c r="B340" s="3">
        <v>45688</v>
      </c>
      <c r="C340" s="3">
        <v>45689.778333333343</v>
      </c>
      <c r="D340" t="s">
        <v>12</v>
      </c>
      <c r="E340" t="s">
        <v>19</v>
      </c>
      <c r="F340" t="s">
        <v>45</v>
      </c>
      <c r="G340" t="s">
        <v>15</v>
      </c>
      <c r="H340">
        <v>24</v>
      </c>
      <c r="I340">
        <v>42.68</v>
      </c>
      <c r="J340">
        <v>5.71</v>
      </c>
      <c r="K340">
        <v>4</v>
      </c>
      <c r="L340" t="str">
        <f>IF(tblTickets[[#This Row],[SLA Target (hrs)]]&gt;=tblTickets[[#This Row],[Actual Resolution Time (hrs)]],"Yes","No")</f>
        <v>No</v>
      </c>
      <c r="M340">
        <f>(tblTickets[[#This Row],[Resolved Date]]-tblTickets[[#This Row],[Created Date]])*24</f>
        <v>42.680000000225846</v>
      </c>
      <c r="N340" t="str">
        <f>IF(tblTickets[[#This Row],[Customer Satisfaction]]&gt;=4,"Satisfied",IF(tblTickets[[#This Row],[Customer Satisfaction]]=3,"Neutral","Dissatisfied"))</f>
        <v>Satisfied</v>
      </c>
    </row>
    <row r="341" spans="1:14" x14ac:dyDescent="0.35">
      <c r="A341" t="s">
        <v>222</v>
      </c>
      <c r="B341" s="3">
        <v>45746</v>
      </c>
      <c r="C341" s="3">
        <v>45747.808749999997</v>
      </c>
      <c r="D341" t="s">
        <v>30</v>
      </c>
      <c r="E341" t="s">
        <v>13</v>
      </c>
      <c r="F341" t="s">
        <v>20</v>
      </c>
      <c r="G341" t="s">
        <v>26</v>
      </c>
      <c r="H341">
        <v>4</v>
      </c>
      <c r="I341">
        <v>43.41</v>
      </c>
      <c r="J341">
        <v>5.67</v>
      </c>
      <c r="K341">
        <v>4</v>
      </c>
      <c r="L341" t="str">
        <f>IF(tblTickets[[#This Row],[SLA Target (hrs)]]&gt;=tblTickets[[#This Row],[Actual Resolution Time (hrs)]],"Yes","No")</f>
        <v>No</v>
      </c>
      <c r="M341">
        <f>(tblTickets[[#This Row],[Resolved Date]]-tblTickets[[#This Row],[Created Date]])*24</f>
        <v>43.409999999916181</v>
      </c>
      <c r="N341" t="str">
        <f>IF(tblTickets[[#This Row],[Customer Satisfaction]]&gt;=4,"Satisfied",IF(tblTickets[[#This Row],[Customer Satisfaction]]=3,"Neutral","Dissatisfied"))</f>
        <v>Satisfied</v>
      </c>
    </row>
    <row r="342" spans="1:14" x14ac:dyDescent="0.35">
      <c r="A342" t="s">
        <v>438</v>
      </c>
      <c r="B342" s="3">
        <v>45687</v>
      </c>
      <c r="C342" s="3">
        <v>45688.815833333327</v>
      </c>
      <c r="D342" t="s">
        <v>12</v>
      </c>
      <c r="E342" t="s">
        <v>40</v>
      </c>
      <c r="F342" t="s">
        <v>20</v>
      </c>
      <c r="G342" t="s">
        <v>15</v>
      </c>
      <c r="H342">
        <v>4</v>
      </c>
      <c r="I342">
        <v>43.58</v>
      </c>
      <c r="J342">
        <v>7.3</v>
      </c>
      <c r="K342">
        <v>4</v>
      </c>
      <c r="L342" t="str">
        <f>IF(tblTickets[[#This Row],[SLA Target (hrs)]]&gt;=tblTickets[[#This Row],[Actual Resolution Time (hrs)]],"Yes","No")</f>
        <v>No</v>
      </c>
      <c r="M342">
        <f>(tblTickets[[#This Row],[Resolved Date]]-tblTickets[[#This Row],[Created Date]])*24</f>
        <v>43.579999999841675</v>
      </c>
      <c r="N342" t="str">
        <f>IF(tblTickets[[#This Row],[Customer Satisfaction]]&gt;=4,"Satisfied",IF(tblTickets[[#This Row],[Customer Satisfaction]]=3,"Neutral","Dissatisfied"))</f>
        <v>Satisfied</v>
      </c>
    </row>
    <row r="343" spans="1:14" x14ac:dyDescent="0.35">
      <c r="A343" t="s">
        <v>186</v>
      </c>
      <c r="B343" s="3">
        <v>45658</v>
      </c>
      <c r="C343" s="3">
        <v>45659.837500000001</v>
      </c>
      <c r="D343" t="s">
        <v>34</v>
      </c>
      <c r="E343" t="s">
        <v>19</v>
      </c>
      <c r="F343" t="s">
        <v>14</v>
      </c>
      <c r="G343" t="s">
        <v>21</v>
      </c>
      <c r="H343">
        <v>4</v>
      </c>
      <c r="I343">
        <v>44.1</v>
      </c>
      <c r="J343">
        <v>7.16</v>
      </c>
      <c r="K343">
        <v>4</v>
      </c>
      <c r="L343" t="str">
        <f>IF(tblTickets[[#This Row],[SLA Target (hrs)]]&gt;=tblTickets[[#This Row],[Actual Resolution Time (hrs)]],"Yes","No")</f>
        <v>No</v>
      </c>
      <c r="M343">
        <f>(tblTickets[[#This Row],[Resolved Date]]-tblTickets[[#This Row],[Created Date]])*24</f>
        <v>44.100000000034925</v>
      </c>
      <c r="N343" t="str">
        <f>IF(tblTickets[[#This Row],[Customer Satisfaction]]&gt;=4,"Satisfied",IF(tblTickets[[#This Row],[Customer Satisfaction]]=3,"Neutral","Dissatisfied"))</f>
        <v>Satisfied</v>
      </c>
    </row>
    <row r="344" spans="1:14" x14ac:dyDescent="0.35">
      <c r="A344" t="s">
        <v>248</v>
      </c>
      <c r="B344" s="3">
        <v>45688</v>
      </c>
      <c r="C344" s="3">
        <v>45689.842916666668</v>
      </c>
      <c r="D344" t="s">
        <v>34</v>
      </c>
      <c r="E344" t="s">
        <v>40</v>
      </c>
      <c r="F344" t="s">
        <v>45</v>
      </c>
      <c r="G344" t="s">
        <v>26</v>
      </c>
      <c r="H344">
        <v>8</v>
      </c>
      <c r="I344">
        <v>44.23</v>
      </c>
      <c r="J344">
        <v>4.9400000000000004</v>
      </c>
      <c r="K344">
        <v>4</v>
      </c>
      <c r="L344" t="str">
        <f>IF(tblTickets[[#This Row],[SLA Target (hrs)]]&gt;=tblTickets[[#This Row],[Actual Resolution Time (hrs)]],"Yes","No")</f>
        <v>No</v>
      </c>
      <c r="M344">
        <f>(tblTickets[[#This Row],[Resolved Date]]-tblTickets[[#This Row],[Created Date]])*24</f>
        <v>44.230000000039581</v>
      </c>
      <c r="N344" t="str">
        <f>IF(tblTickets[[#This Row],[Customer Satisfaction]]&gt;=4,"Satisfied",IF(tblTickets[[#This Row],[Customer Satisfaction]]=3,"Neutral","Dissatisfied"))</f>
        <v>Satisfied</v>
      </c>
    </row>
    <row r="345" spans="1:14" x14ac:dyDescent="0.35">
      <c r="A345" t="s">
        <v>51</v>
      </c>
      <c r="B345" s="3">
        <v>45740</v>
      </c>
      <c r="C345" s="3">
        <v>45741.859583333331</v>
      </c>
      <c r="D345" t="s">
        <v>34</v>
      </c>
      <c r="E345" t="s">
        <v>13</v>
      </c>
      <c r="F345" t="s">
        <v>25</v>
      </c>
      <c r="G345" t="s">
        <v>26</v>
      </c>
      <c r="H345">
        <v>4</v>
      </c>
      <c r="I345">
        <v>44.63</v>
      </c>
      <c r="J345">
        <v>5.55</v>
      </c>
      <c r="K345">
        <v>4</v>
      </c>
      <c r="L345" t="str">
        <f>IF(tblTickets[[#This Row],[SLA Target (hrs)]]&gt;=tblTickets[[#This Row],[Actual Resolution Time (hrs)]],"Yes","No")</f>
        <v>No</v>
      </c>
      <c r="M345">
        <f>(tblTickets[[#This Row],[Resolved Date]]-tblTickets[[#This Row],[Created Date]])*24</f>
        <v>44.629999999946449</v>
      </c>
      <c r="N345" t="str">
        <f>IF(tblTickets[[#This Row],[Customer Satisfaction]]&gt;=4,"Satisfied",IF(tblTickets[[#This Row],[Customer Satisfaction]]=3,"Neutral","Dissatisfied"))</f>
        <v>Satisfied</v>
      </c>
    </row>
    <row r="346" spans="1:14" x14ac:dyDescent="0.35">
      <c r="A346" t="s">
        <v>193</v>
      </c>
      <c r="B346" s="3">
        <v>45684</v>
      </c>
      <c r="C346" s="3">
        <v>45685.897083333337</v>
      </c>
      <c r="D346" t="s">
        <v>30</v>
      </c>
      <c r="E346" t="s">
        <v>13</v>
      </c>
      <c r="F346" t="s">
        <v>41</v>
      </c>
      <c r="G346" t="s">
        <v>26</v>
      </c>
      <c r="H346">
        <v>4</v>
      </c>
      <c r="I346">
        <v>45.53</v>
      </c>
      <c r="J346">
        <v>5.51</v>
      </c>
      <c r="K346">
        <v>4</v>
      </c>
      <c r="L346" t="str">
        <f>IF(tblTickets[[#This Row],[SLA Target (hrs)]]&gt;=tblTickets[[#This Row],[Actual Resolution Time (hrs)]],"Yes","No")</f>
        <v>No</v>
      </c>
      <c r="M346">
        <f>(tblTickets[[#This Row],[Resolved Date]]-tblTickets[[#This Row],[Created Date]])*24</f>
        <v>45.530000000086147</v>
      </c>
      <c r="N346" t="str">
        <f>IF(tblTickets[[#This Row],[Customer Satisfaction]]&gt;=4,"Satisfied",IF(tblTickets[[#This Row],[Customer Satisfaction]]=3,"Neutral","Dissatisfied"))</f>
        <v>Satisfied</v>
      </c>
    </row>
    <row r="347" spans="1:14" x14ac:dyDescent="0.35">
      <c r="A347" t="s">
        <v>480</v>
      </c>
      <c r="B347" s="3">
        <v>45697</v>
      </c>
      <c r="C347" s="3">
        <v>45698.89916666667</v>
      </c>
      <c r="D347" t="s">
        <v>23</v>
      </c>
      <c r="E347" t="s">
        <v>40</v>
      </c>
      <c r="F347" t="s">
        <v>41</v>
      </c>
      <c r="G347" t="s">
        <v>15</v>
      </c>
      <c r="H347">
        <v>24</v>
      </c>
      <c r="I347">
        <v>45.58</v>
      </c>
      <c r="J347">
        <v>6.27</v>
      </c>
      <c r="K347">
        <v>4</v>
      </c>
      <c r="L347" t="str">
        <f>IF(tblTickets[[#This Row],[SLA Target (hrs)]]&gt;=tblTickets[[#This Row],[Actual Resolution Time (hrs)]],"Yes","No")</f>
        <v>No</v>
      </c>
      <c r="M347">
        <f>(tblTickets[[#This Row],[Resolved Date]]-tblTickets[[#This Row],[Created Date]])*24</f>
        <v>45.580000000074506</v>
      </c>
      <c r="N347" t="str">
        <f>IF(tblTickets[[#This Row],[Customer Satisfaction]]&gt;=4,"Satisfied",IF(tblTickets[[#This Row],[Customer Satisfaction]]=3,"Neutral","Dissatisfied"))</f>
        <v>Satisfied</v>
      </c>
    </row>
    <row r="348" spans="1:14" x14ac:dyDescent="0.35">
      <c r="A348" t="s">
        <v>81</v>
      </c>
      <c r="B348" s="3">
        <v>45686</v>
      </c>
      <c r="C348" s="3">
        <v>45687.947083333333</v>
      </c>
      <c r="D348" t="s">
        <v>34</v>
      </c>
      <c r="E348" t="s">
        <v>19</v>
      </c>
      <c r="F348" t="s">
        <v>14</v>
      </c>
      <c r="G348" t="s">
        <v>26</v>
      </c>
      <c r="H348">
        <v>24</v>
      </c>
      <c r="I348">
        <v>46.73</v>
      </c>
      <c r="J348">
        <v>5.81</v>
      </c>
      <c r="K348">
        <v>4</v>
      </c>
      <c r="L348" t="str">
        <f>IF(tblTickets[[#This Row],[SLA Target (hrs)]]&gt;=tblTickets[[#This Row],[Actual Resolution Time (hrs)]],"Yes","No")</f>
        <v>No</v>
      </c>
      <c r="M348">
        <f>(tblTickets[[#This Row],[Resolved Date]]-tblTickets[[#This Row],[Created Date]])*24</f>
        <v>46.729999999981374</v>
      </c>
      <c r="N348" t="str">
        <f>IF(tblTickets[[#This Row],[Customer Satisfaction]]&gt;=4,"Satisfied",IF(tblTickets[[#This Row],[Customer Satisfaction]]=3,"Neutral","Dissatisfied"))</f>
        <v>Satisfied</v>
      </c>
    </row>
    <row r="349" spans="1:14" x14ac:dyDescent="0.35">
      <c r="A349" t="s">
        <v>517</v>
      </c>
      <c r="B349" s="3">
        <v>45685</v>
      </c>
      <c r="C349" s="3">
        <v>45686.964166666658</v>
      </c>
      <c r="D349" t="s">
        <v>34</v>
      </c>
      <c r="E349" t="s">
        <v>13</v>
      </c>
      <c r="F349" t="s">
        <v>41</v>
      </c>
      <c r="G349" t="s">
        <v>15</v>
      </c>
      <c r="H349">
        <v>24</v>
      </c>
      <c r="I349">
        <v>47.14</v>
      </c>
      <c r="J349">
        <v>6.52</v>
      </c>
      <c r="K349">
        <v>4</v>
      </c>
      <c r="L349" t="str">
        <f>IF(tblTickets[[#This Row],[SLA Target (hrs)]]&gt;=tblTickets[[#This Row],[Actual Resolution Time (hrs)]],"Yes","No")</f>
        <v>No</v>
      </c>
      <c r="M349">
        <f>(tblTickets[[#This Row],[Resolved Date]]-tblTickets[[#This Row],[Created Date]])*24</f>
        <v>47.139999999781139</v>
      </c>
      <c r="N349" t="str">
        <f>IF(tblTickets[[#This Row],[Customer Satisfaction]]&gt;=4,"Satisfied",IF(tblTickets[[#This Row],[Customer Satisfaction]]=3,"Neutral","Dissatisfied"))</f>
        <v>Satisfied</v>
      </c>
    </row>
    <row r="350" spans="1:14" x14ac:dyDescent="0.35">
      <c r="A350" t="s">
        <v>467</v>
      </c>
      <c r="B350" s="3">
        <v>45706</v>
      </c>
      <c r="C350" s="3">
        <v>45706.205000000002</v>
      </c>
      <c r="D350" t="s">
        <v>34</v>
      </c>
      <c r="E350" t="s">
        <v>40</v>
      </c>
      <c r="F350" t="s">
        <v>14</v>
      </c>
      <c r="G350" t="s">
        <v>21</v>
      </c>
      <c r="H350">
        <v>4</v>
      </c>
      <c r="I350">
        <v>4.92</v>
      </c>
      <c r="J350">
        <v>7.84</v>
      </c>
      <c r="K350">
        <v>4</v>
      </c>
      <c r="L350" t="str">
        <f>IF(tblTickets[[#This Row],[SLA Target (hrs)]]&gt;=tblTickets[[#This Row],[Actual Resolution Time (hrs)]],"Yes","No")</f>
        <v>No</v>
      </c>
      <c r="M350">
        <f>(tblTickets[[#This Row],[Resolved Date]]-tblTickets[[#This Row],[Created Date]])*24</f>
        <v>4.9200000000419095</v>
      </c>
      <c r="N350" t="str">
        <f>IF(tblTickets[[#This Row],[Customer Satisfaction]]&gt;=4,"Satisfied",IF(tblTickets[[#This Row],[Customer Satisfaction]]=3,"Neutral","Dissatisfied"))</f>
        <v>Satisfied</v>
      </c>
    </row>
    <row r="351" spans="1:14" x14ac:dyDescent="0.35">
      <c r="A351" t="s">
        <v>269</v>
      </c>
      <c r="B351" s="3">
        <v>45721</v>
      </c>
      <c r="C351" s="3">
        <v>45721.323333333326</v>
      </c>
      <c r="D351" t="s">
        <v>30</v>
      </c>
      <c r="E351" t="s">
        <v>19</v>
      </c>
      <c r="F351" t="s">
        <v>14</v>
      </c>
      <c r="G351" t="s">
        <v>15</v>
      </c>
      <c r="H351">
        <v>4</v>
      </c>
      <c r="I351">
        <v>7.76</v>
      </c>
      <c r="J351">
        <v>3.67</v>
      </c>
      <c r="K351">
        <v>4</v>
      </c>
      <c r="L351" t="str">
        <f>IF(tblTickets[[#This Row],[SLA Target (hrs)]]&gt;=tblTickets[[#This Row],[Actual Resolution Time (hrs)]],"Yes","No")</f>
        <v>No</v>
      </c>
      <c r="M351">
        <f>(tblTickets[[#This Row],[Resolved Date]]-tblTickets[[#This Row],[Created Date]])*24</f>
        <v>7.7599999998346902</v>
      </c>
      <c r="N351" t="str">
        <f>IF(tblTickets[[#This Row],[Customer Satisfaction]]&gt;=4,"Satisfied",IF(tblTickets[[#This Row],[Customer Satisfaction]]=3,"Neutral","Dissatisfied"))</f>
        <v>Satisfied</v>
      </c>
    </row>
    <row r="352" spans="1:14" x14ac:dyDescent="0.35">
      <c r="A352" t="s">
        <v>346</v>
      </c>
      <c r="B352" s="3">
        <v>45683</v>
      </c>
      <c r="C352" s="3">
        <v>45683.323333333326</v>
      </c>
      <c r="D352" t="s">
        <v>23</v>
      </c>
      <c r="E352" t="s">
        <v>13</v>
      </c>
      <c r="F352" t="s">
        <v>14</v>
      </c>
      <c r="G352" t="s">
        <v>26</v>
      </c>
      <c r="H352">
        <v>4</v>
      </c>
      <c r="I352">
        <v>7.76</v>
      </c>
      <c r="J352">
        <v>5.16</v>
      </c>
      <c r="K352">
        <v>4</v>
      </c>
      <c r="L352" t="str">
        <f>IF(tblTickets[[#This Row],[SLA Target (hrs)]]&gt;=tblTickets[[#This Row],[Actual Resolution Time (hrs)]],"Yes","No")</f>
        <v>No</v>
      </c>
      <c r="M352">
        <f>(tblTickets[[#This Row],[Resolved Date]]-tblTickets[[#This Row],[Created Date]])*24</f>
        <v>7.7599999998346902</v>
      </c>
      <c r="N352" t="str">
        <f>IF(tblTickets[[#This Row],[Customer Satisfaction]]&gt;=4,"Satisfied",IF(tblTickets[[#This Row],[Customer Satisfaction]]=3,"Neutral","Dissatisfied"))</f>
        <v>Satisfied</v>
      </c>
    </row>
    <row r="353" spans="1:14" x14ac:dyDescent="0.35">
      <c r="A353" t="s">
        <v>176</v>
      </c>
      <c r="B353" s="3">
        <v>45694</v>
      </c>
      <c r="C353" s="3">
        <v>45694.347500000003</v>
      </c>
      <c r="D353" t="s">
        <v>12</v>
      </c>
      <c r="E353" t="s">
        <v>13</v>
      </c>
      <c r="F353" t="s">
        <v>45</v>
      </c>
      <c r="G353" t="s">
        <v>26</v>
      </c>
      <c r="H353">
        <v>8</v>
      </c>
      <c r="I353">
        <v>8.34</v>
      </c>
      <c r="J353">
        <v>6.07</v>
      </c>
      <c r="K353">
        <v>4</v>
      </c>
      <c r="L353" t="str">
        <f>IF(tblTickets[[#This Row],[SLA Target (hrs)]]&gt;=tblTickets[[#This Row],[Actual Resolution Time (hrs)]],"Yes","No")</f>
        <v>No</v>
      </c>
      <c r="M353">
        <f>(tblTickets[[#This Row],[Resolved Date]]-tblTickets[[#This Row],[Created Date]])*24</f>
        <v>8.340000000083819</v>
      </c>
      <c r="N353" t="str">
        <f>IF(tblTickets[[#This Row],[Customer Satisfaction]]&gt;=4,"Satisfied",IF(tblTickets[[#This Row],[Customer Satisfaction]]=3,"Neutral","Dissatisfied"))</f>
        <v>Satisfied</v>
      </c>
    </row>
    <row r="354" spans="1:14" x14ac:dyDescent="0.35">
      <c r="A354" t="s">
        <v>466</v>
      </c>
      <c r="B354" s="3">
        <v>45670</v>
      </c>
      <c r="C354" s="3">
        <v>45670.358749999999</v>
      </c>
      <c r="D354" t="s">
        <v>12</v>
      </c>
      <c r="E354" t="s">
        <v>17</v>
      </c>
      <c r="F354" t="s">
        <v>25</v>
      </c>
      <c r="G354" t="s">
        <v>26</v>
      </c>
      <c r="H354">
        <v>4</v>
      </c>
      <c r="I354">
        <v>8.61</v>
      </c>
      <c r="J354">
        <v>5.35</v>
      </c>
      <c r="K354">
        <v>4</v>
      </c>
      <c r="L354" t="str">
        <f>IF(tblTickets[[#This Row],[SLA Target (hrs)]]&gt;=tblTickets[[#This Row],[Actual Resolution Time (hrs)]],"Yes","No")</f>
        <v>No</v>
      </c>
      <c r="M354">
        <f>(tblTickets[[#This Row],[Resolved Date]]-tblTickets[[#This Row],[Created Date]])*24</f>
        <v>8.6099999999860302</v>
      </c>
      <c r="N354" t="str">
        <f>IF(tblTickets[[#This Row],[Customer Satisfaction]]&gt;=4,"Satisfied",IF(tblTickets[[#This Row],[Customer Satisfaction]]=3,"Neutral","Dissatisfied"))</f>
        <v>Satisfied</v>
      </c>
    </row>
    <row r="355" spans="1:14" x14ac:dyDescent="0.35">
      <c r="A355" t="s">
        <v>474</v>
      </c>
      <c r="B355" s="3">
        <v>45671</v>
      </c>
      <c r="C355" s="3">
        <v>45671.398333333331</v>
      </c>
      <c r="D355" t="s">
        <v>23</v>
      </c>
      <c r="E355" t="s">
        <v>13</v>
      </c>
      <c r="F355" t="s">
        <v>14</v>
      </c>
      <c r="G355" t="s">
        <v>15</v>
      </c>
      <c r="H355">
        <v>4</v>
      </c>
      <c r="I355">
        <v>9.56</v>
      </c>
      <c r="J355">
        <v>7.56</v>
      </c>
      <c r="K355">
        <v>4</v>
      </c>
      <c r="L355" t="str">
        <f>IF(tblTickets[[#This Row],[SLA Target (hrs)]]&gt;=tblTickets[[#This Row],[Actual Resolution Time (hrs)]],"Yes","No")</f>
        <v>No</v>
      </c>
      <c r="M355">
        <f>(tblTickets[[#This Row],[Resolved Date]]-tblTickets[[#This Row],[Created Date]])*24</f>
        <v>9.559999999939464</v>
      </c>
      <c r="N355" t="str">
        <f>IF(tblTickets[[#This Row],[Customer Satisfaction]]&gt;=4,"Satisfied",IF(tblTickets[[#This Row],[Customer Satisfaction]]=3,"Neutral","Dissatisfied"))</f>
        <v>Satisfied</v>
      </c>
    </row>
    <row r="356" spans="1:14" x14ac:dyDescent="0.35">
      <c r="A356" t="s">
        <v>200</v>
      </c>
      <c r="B356" s="3">
        <v>45738</v>
      </c>
      <c r="C356" s="3">
        <v>45738.470833333333</v>
      </c>
      <c r="D356" t="s">
        <v>12</v>
      </c>
      <c r="E356" t="s">
        <v>13</v>
      </c>
      <c r="F356" t="s">
        <v>14</v>
      </c>
      <c r="G356" t="s">
        <v>15</v>
      </c>
      <c r="H356">
        <v>4</v>
      </c>
      <c r="I356">
        <v>11.3</v>
      </c>
      <c r="J356">
        <v>7.22</v>
      </c>
      <c r="K356">
        <v>4</v>
      </c>
      <c r="L356" t="str">
        <f>IF(tblTickets[[#This Row],[SLA Target (hrs)]]&gt;=tblTickets[[#This Row],[Actual Resolution Time (hrs)]],"Yes","No")</f>
        <v>No</v>
      </c>
      <c r="M356">
        <f>(tblTickets[[#This Row],[Resolved Date]]-tblTickets[[#This Row],[Created Date]])*24</f>
        <v>11.299999999988358</v>
      </c>
      <c r="N356" t="str">
        <f>IF(tblTickets[[#This Row],[Customer Satisfaction]]&gt;=4,"Satisfied",IF(tblTickets[[#This Row],[Customer Satisfaction]]=3,"Neutral","Dissatisfied"))</f>
        <v>Satisfied</v>
      </c>
    </row>
    <row r="357" spans="1:14" x14ac:dyDescent="0.35">
      <c r="A357" t="s">
        <v>182</v>
      </c>
      <c r="B357" s="3">
        <v>45683</v>
      </c>
      <c r="C357" s="3">
        <v>45683.476666666669</v>
      </c>
      <c r="D357" t="s">
        <v>34</v>
      </c>
      <c r="E357" t="s">
        <v>17</v>
      </c>
      <c r="F357" t="s">
        <v>41</v>
      </c>
      <c r="G357" t="s">
        <v>21</v>
      </c>
      <c r="H357">
        <v>4</v>
      </c>
      <c r="I357">
        <v>11.44</v>
      </c>
      <c r="J357">
        <v>1.25</v>
      </c>
      <c r="K357">
        <v>4</v>
      </c>
      <c r="L357" t="str">
        <f>IF(tblTickets[[#This Row],[SLA Target (hrs)]]&gt;=tblTickets[[#This Row],[Actual Resolution Time (hrs)]],"Yes","No")</f>
        <v>No</v>
      </c>
      <c r="M357">
        <f>(tblTickets[[#This Row],[Resolved Date]]-tblTickets[[#This Row],[Created Date]])*24</f>
        <v>11.440000000060536</v>
      </c>
      <c r="N357" t="str">
        <f>IF(tblTickets[[#This Row],[Customer Satisfaction]]&gt;=4,"Satisfied",IF(tblTickets[[#This Row],[Customer Satisfaction]]=3,"Neutral","Dissatisfied"))</f>
        <v>Satisfied</v>
      </c>
    </row>
    <row r="358" spans="1:14" x14ac:dyDescent="0.35">
      <c r="A358" t="s">
        <v>159</v>
      </c>
      <c r="B358" s="3">
        <v>45709</v>
      </c>
      <c r="C358" s="3">
        <v>45709.505833333344</v>
      </c>
      <c r="D358" t="s">
        <v>23</v>
      </c>
      <c r="E358" t="s">
        <v>17</v>
      </c>
      <c r="F358" t="s">
        <v>45</v>
      </c>
      <c r="G358" t="s">
        <v>21</v>
      </c>
      <c r="H358">
        <v>4</v>
      </c>
      <c r="I358">
        <v>12.14</v>
      </c>
      <c r="J358">
        <v>2.41</v>
      </c>
      <c r="K358">
        <v>4</v>
      </c>
      <c r="L358" t="str">
        <f>IF(tblTickets[[#This Row],[SLA Target (hrs)]]&gt;=tblTickets[[#This Row],[Actual Resolution Time (hrs)]],"Yes","No")</f>
        <v>No</v>
      </c>
      <c r="M358">
        <f>(tblTickets[[#This Row],[Resolved Date]]-tblTickets[[#This Row],[Created Date]])*24</f>
        <v>12.1400000002468</v>
      </c>
      <c r="N358" t="str">
        <f>IF(tblTickets[[#This Row],[Customer Satisfaction]]&gt;=4,"Satisfied",IF(tblTickets[[#This Row],[Customer Satisfaction]]=3,"Neutral","Dissatisfied"))</f>
        <v>Satisfied</v>
      </c>
    </row>
    <row r="359" spans="1:14" x14ac:dyDescent="0.35">
      <c r="A359" t="s">
        <v>457</v>
      </c>
      <c r="B359" s="3">
        <v>45686</v>
      </c>
      <c r="C359" s="3">
        <v>45686.505833333344</v>
      </c>
      <c r="D359" t="s">
        <v>30</v>
      </c>
      <c r="E359" t="s">
        <v>40</v>
      </c>
      <c r="F359" t="s">
        <v>25</v>
      </c>
      <c r="G359" t="s">
        <v>15</v>
      </c>
      <c r="H359">
        <v>8</v>
      </c>
      <c r="I359">
        <v>12.14</v>
      </c>
      <c r="J359">
        <v>6.4</v>
      </c>
      <c r="K359">
        <v>4</v>
      </c>
      <c r="L359" t="str">
        <f>IF(tblTickets[[#This Row],[SLA Target (hrs)]]&gt;=tblTickets[[#This Row],[Actual Resolution Time (hrs)]],"Yes","No")</f>
        <v>No</v>
      </c>
      <c r="M359">
        <f>(tblTickets[[#This Row],[Resolved Date]]-tblTickets[[#This Row],[Created Date]])*24</f>
        <v>12.1400000002468</v>
      </c>
      <c r="N359" t="str">
        <f>IF(tblTickets[[#This Row],[Customer Satisfaction]]&gt;=4,"Satisfied",IF(tblTickets[[#This Row],[Customer Satisfaction]]=3,"Neutral","Dissatisfied"))</f>
        <v>Satisfied</v>
      </c>
    </row>
    <row r="360" spans="1:14" x14ac:dyDescent="0.35">
      <c r="A360" t="s">
        <v>329</v>
      </c>
      <c r="B360" s="3">
        <v>45661</v>
      </c>
      <c r="C360" s="3">
        <v>45661.544166666667</v>
      </c>
      <c r="D360" t="s">
        <v>30</v>
      </c>
      <c r="E360" t="s">
        <v>17</v>
      </c>
      <c r="F360" t="s">
        <v>25</v>
      </c>
      <c r="G360" t="s">
        <v>15</v>
      </c>
      <c r="H360">
        <v>8</v>
      </c>
      <c r="I360">
        <v>13.06</v>
      </c>
      <c r="J360">
        <v>3.54</v>
      </c>
      <c r="K360">
        <v>4</v>
      </c>
      <c r="L360" t="str">
        <f>IF(tblTickets[[#This Row],[SLA Target (hrs)]]&gt;=tblTickets[[#This Row],[Actual Resolution Time (hrs)]],"Yes","No")</f>
        <v>No</v>
      </c>
      <c r="M360">
        <f>(tblTickets[[#This Row],[Resolved Date]]-tblTickets[[#This Row],[Created Date]])*24</f>
        <v>13.059999999997672</v>
      </c>
      <c r="N360" t="str">
        <f>IF(tblTickets[[#This Row],[Customer Satisfaction]]&gt;=4,"Satisfied",IF(tblTickets[[#This Row],[Customer Satisfaction]]=3,"Neutral","Dissatisfied"))</f>
        <v>Satisfied</v>
      </c>
    </row>
    <row r="361" spans="1:14" x14ac:dyDescent="0.35">
      <c r="A361" t="s">
        <v>417</v>
      </c>
      <c r="B361" s="3">
        <v>45663</v>
      </c>
      <c r="C361" s="3">
        <v>45663.568333333344</v>
      </c>
      <c r="D361" t="s">
        <v>12</v>
      </c>
      <c r="E361" t="s">
        <v>17</v>
      </c>
      <c r="F361" t="s">
        <v>45</v>
      </c>
      <c r="G361" t="s">
        <v>21</v>
      </c>
      <c r="H361">
        <v>4</v>
      </c>
      <c r="I361">
        <v>13.64</v>
      </c>
      <c r="J361">
        <v>2.86</v>
      </c>
      <c r="K361">
        <v>4</v>
      </c>
      <c r="L361" t="str">
        <f>IF(tblTickets[[#This Row],[SLA Target (hrs)]]&gt;=tblTickets[[#This Row],[Actual Resolution Time (hrs)]],"Yes","No")</f>
        <v>No</v>
      </c>
      <c r="M361">
        <f>(tblTickets[[#This Row],[Resolved Date]]-tblTickets[[#This Row],[Created Date]])*24</f>
        <v>13.6400000002468</v>
      </c>
      <c r="N361" t="str">
        <f>IF(tblTickets[[#This Row],[Customer Satisfaction]]&gt;=4,"Satisfied",IF(tblTickets[[#This Row],[Customer Satisfaction]]=3,"Neutral","Dissatisfied"))</f>
        <v>Satisfied</v>
      </c>
    </row>
    <row r="362" spans="1:14" x14ac:dyDescent="0.35">
      <c r="A362" t="s">
        <v>368</v>
      </c>
      <c r="B362" s="3">
        <v>45744</v>
      </c>
      <c r="C362" s="3">
        <v>45744.58625</v>
      </c>
      <c r="D362" t="s">
        <v>34</v>
      </c>
      <c r="E362" t="s">
        <v>13</v>
      </c>
      <c r="F362" t="s">
        <v>41</v>
      </c>
      <c r="G362" t="s">
        <v>26</v>
      </c>
      <c r="H362">
        <v>4</v>
      </c>
      <c r="I362">
        <v>14.07</v>
      </c>
      <c r="J362">
        <v>0.53</v>
      </c>
      <c r="K362">
        <v>4</v>
      </c>
      <c r="L362" t="str">
        <f>IF(tblTickets[[#This Row],[SLA Target (hrs)]]&gt;=tblTickets[[#This Row],[Actual Resolution Time (hrs)]],"Yes","No")</f>
        <v>No</v>
      </c>
      <c r="M362">
        <f>(tblTickets[[#This Row],[Resolved Date]]-tblTickets[[#This Row],[Created Date]])*24</f>
        <v>14.070000000006985</v>
      </c>
      <c r="N362" t="str">
        <f>IF(tblTickets[[#This Row],[Customer Satisfaction]]&gt;=4,"Satisfied",IF(tblTickets[[#This Row],[Customer Satisfaction]]=3,"Neutral","Dissatisfied"))</f>
        <v>Satisfied</v>
      </c>
    </row>
    <row r="363" spans="1:14" x14ac:dyDescent="0.35">
      <c r="A363" t="s">
        <v>138</v>
      </c>
      <c r="B363" s="3">
        <v>45705</v>
      </c>
      <c r="C363" s="3">
        <v>45705.598749999997</v>
      </c>
      <c r="D363" t="s">
        <v>30</v>
      </c>
      <c r="E363" t="s">
        <v>13</v>
      </c>
      <c r="F363" t="s">
        <v>45</v>
      </c>
      <c r="G363" t="s">
        <v>26</v>
      </c>
      <c r="H363">
        <v>8</v>
      </c>
      <c r="I363">
        <v>14.37</v>
      </c>
      <c r="J363">
        <v>5.0599999999999996</v>
      </c>
      <c r="K363">
        <v>4</v>
      </c>
      <c r="L363" t="str">
        <f>IF(tblTickets[[#This Row],[SLA Target (hrs)]]&gt;=tblTickets[[#This Row],[Actual Resolution Time (hrs)]],"Yes","No")</f>
        <v>No</v>
      </c>
      <c r="M363">
        <f>(tblTickets[[#This Row],[Resolved Date]]-tblTickets[[#This Row],[Created Date]])*24</f>
        <v>14.369999999937136</v>
      </c>
      <c r="N363" t="str">
        <f>IF(tblTickets[[#This Row],[Customer Satisfaction]]&gt;=4,"Satisfied",IF(tblTickets[[#This Row],[Customer Satisfaction]]=3,"Neutral","Dissatisfied"))</f>
        <v>Satisfied</v>
      </c>
    </row>
    <row r="364" spans="1:14" x14ac:dyDescent="0.35">
      <c r="A364" t="s">
        <v>90</v>
      </c>
      <c r="B364" s="3">
        <v>45724</v>
      </c>
      <c r="C364" s="3">
        <v>45724.67</v>
      </c>
      <c r="D364" t="s">
        <v>12</v>
      </c>
      <c r="E364" t="s">
        <v>19</v>
      </c>
      <c r="F364" t="s">
        <v>20</v>
      </c>
      <c r="G364" t="s">
        <v>15</v>
      </c>
      <c r="H364">
        <v>4</v>
      </c>
      <c r="I364">
        <v>16.079999999999998</v>
      </c>
      <c r="J364">
        <v>1.48</v>
      </c>
      <c r="K364">
        <v>4</v>
      </c>
      <c r="L364" t="str">
        <f>IF(tblTickets[[#This Row],[SLA Target (hrs)]]&gt;=tblTickets[[#This Row],[Actual Resolution Time (hrs)]],"Yes","No")</f>
        <v>No</v>
      </c>
      <c r="M364">
        <f>(tblTickets[[#This Row],[Resolved Date]]-tblTickets[[#This Row],[Created Date]])*24</f>
        <v>16.07999999995809</v>
      </c>
      <c r="N364" t="str">
        <f>IF(tblTickets[[#This Row],[Customer Satisfaction]]&gt;=4,"Satisfied",IF(tblTickets[[#This Row],[Customer Satisfaction]]=3,"Neutral","Dissatisfied"))</f>
        <v>Satisfied</v>
      </c>
    </row>
    <row r="365" spans="1:14" x14ac:dyDescent="0.35">
      <c r="A365" t="s">
        <v>386</v>
      </c>
      <c r="B365" s="3">
        <v>45728</v>
      </c>
      <c r="C365" s="3">
        <v>45728.689583333333</v>
      </c>
      <c r="D365" t="s">
        <v>23</v>
      </c>
      <c r="E365" t="s">
        <v>40</v>
      </c>
      <c r="F365" t="s">
        <v>14</v>
      </c>
      <c r="G365" t="s">
        <v>21</v>
      </c>
      <c r="H365">
        <v>4</v>
      </c>
      <c r="I365">
        <v>16.55</v>
      </c>
      <c r="J365">
        <v>1.34</v>
      </c>
      <c r="K365">
        <v>4</v>
      </c>
      <c r="L365" t="str">
        <f>IF(tblTickets[[#This Row],[SLA Target (hrs)]]&gt;=tblTickets[[#This Row],[Actual Resolution Time (hrs)]],"Yes","No")</f>
        <v>No</v>
      </c>
      <c r="M365">
        <f>(tblTickets[[#This Row],[Resolved Date]]-tblTickets[[#This Row],[Created Date]])*24</f>
        <v>16.549999999988358</v>
      </c>
      <c r="N365" t="str">
        <f>IF(tblTickets[[#This Row],[Customer Satisfaction]]&gt;=4,"Satisfied",IF(tblTickets[[#This Row],[Customer Satisfaction]]=3,"Neutral","Dissatisfied"))</f>
        <v>Satisfied</v>
      </c>
    </row>
    <row r="366" spans="1:14" x14ac:dyDescent="0.35">
      <c r="A366" t="s">
        <v>349</v>
      </c>
      <c r="B366" s="3">
        <v>45698</v>
      </c>
      <c r="C366" s="3">
        <v>45698.692499999997</v>
      </c>
      <c r="D366" t="s">
        <v>12</v>
      </c>
      <c r="E366" t="s">
        <v>17</v>
      </c>
      <c r="F366" t="s">
        <v>41</v>
      </c>
      <c r="G366" t="s">
        <v>21</v>
      </c>
      <c r="H366">
        <v>4</v>
      </c>
      <c r="I366">
        <v>16.62</v>
      </c>
      <c r="J366">
        <v>3.33</v>
      </c>
      <c r="K366">
        <v>4</v>
      </c>
      <c r="L366" t="str">
        <f>IF(tblTickets[[#This Row],[SLA Target (hrs)]]&gt;=tblTickets[[#This Row],[Actual Resolution Time (hrs)]],"Yes","No")</f>
        <v>No</v>
      </c>
      <c r="M366">
        <f>(tblTickets[[#This Row],[Resolved Date]]-tblTickets[[#This Row],[Created Date]])*24</f>
        <v>16.619999999937136</v>
      </c>
      <c r="N366" t="str">
        <f>IF(tblTickets[[#This Row],[Customer Satisfaction]]&gt;=4,"Satisfied",IF(tblTickets[[#This Row],[Customer Satisfaction]]=3,"Neutral","Dissatisfied"))</f>
        <v>Satisfied</v>
      </c>
    </row>
    <row r="367" spans="1:14" x14ac:dyDescent="0.35">
      <c r="A367" t="s">
        <v>211</v>
      </c>
      <c r="B367" s="3">
        <v>45686</v>
      </c>
      <c r="C367" s="3">
        <v>45686.755833333344</v>
      </c>
      <c r="D367" t="s">
        <v>34</v>
      </c>
      <c r="E367" t="s">
        <v>40</v>
      </c>
      <c r="F367" t="s">
        <v>45</v>
      </c>
      <c r="G367" t="s">
        <v>26</v>
      </c>
      <c r="H367">
        <v>4</v>
      </c>
      <c r="I367">
        <v>18.14</v>
      </c>
      <c r="J367">
        <v>6.97</v>
      </c>
      <c r="K367">
        <v>4</v>
      </c>
      <c r="L367" t="str">
        <f>IF(tblTickets[[#This Row],[SLA Target (hrs)]]&gt;=tblTickets[[#This Row],[Actual Resolution Time (hrs)]],"Yes","No")</f>
        <v>No</v>
      </c>
      <c r="M367">
        <f>(tblTickets[[#This Row],[Resolved Date]]-tblTickets[[#This Row],[Created Date]])*24</f>
        <v>18.1400000002468</v>
      </c>
      <c r="N367" t="str">
        <f>IF(tblTickets[[#This Row],[Customer Satisfaction]]&gt;=4,"Satisfied",IF(tblTickets[[#This Row],[Customer Satisfaction]]=3,"Neutral","Dissatisfied"))</f>
        <v>Satisfied</v>
      </c>
    </row>
    <row r="368" spans="1:14" x14ac:dyDescent="0.35">
      <c r="A368" t="s">
        <v>177</v>
      </c>
      <c r="B368" s="3">
        <v>45744</v>
      </c>
      <c r="C368" s="3">
        <v>45744.761666666673</v>
      </c>
      <c r="D368" t="s">
        <v>23</v>
      </c>
      <c r="E368" t="s">
        <v>40</v>
      </c>
      <c r="F368" t="s">
        <v>45</v>
      </c>
      <c r="G368" t="s">
        <v>21</v>
      </c>
      <c r="H368">
        <v>8</v>
      </c>
      <c r="I368">
        <v>18.28</v>
      </c>
      <c r="J368">
        <v>1.76</v>
      </c>
      <c r="K368">
        <v>4</v>
      </c>
      <c r="L368" t="str">
        <f>IF(tblTickets[[#This Row],[SLA Target (hrs)]]&gt;=tblTickets[[#This Row],[Actual Resolution Time (hrs)]],"Yes","No")</f>
        <v>No</v>
      </c>
      <c r="M368">
        <f>(tblTickets[[#This Row],[Resolved Date]]-tblTickets[[#This Row],[Created Date]])*24</f>
        <v>18.280000000144355</v>
      </c>
      <c r="N368" t="str">
        <f>IF(tblTickets[[#This Row],[Customer Satisfaction]]&gt;=4,"Satisfied",IF(tblTickets[[#This Row],[Customer Satisfaction]]=3,"Neutral","Dissatisfied"))</f>
        <v>Satisfied</v>
      </c>
    </row>
    <row r="369" spans="1:14" x14ac:dyDescent="0.35">
      <c r="A369" t="s">
        <v>419</v>
      </c>
      <c r="B369" s="3">
        <v>45678</v>
      </c>
      <c r="C369" s="3">
        <v>45678.780833333331</v>
      </c>
      <c r="D369" t="s">
        <v>12</v>
      </c>
      <c r="E369" t="s">
        <v>17</v>
      </c>
      <c r="F369" t="s">
        <v>14</v>
      </c>
      <c r="G369" t="s">
        <v>21</v>
      </c>
      <c r="H369">
        <v>4</v>
      </c>
      <c r="I369">
        <v>18.739999999999998</v>
      </c>
      <c r="J369">
        <v>2.85</v>
      </c>
      <c r="K369">
        <v>4</v>
      </c>
      <c r="L369" t="str">
        <f>IF(tblTickets[[#This Row],[SLA Target (hrs)]]&gt;=tblTickets[[#This Row],[Actual Resolution Time (hrs)]],"Yes","No")</f>
        <v>No</v>
      </c>
      <c r="M369">
        <f>(tblTickets[[#This Row],[Resolved Date]]-tblTickets[[#This Row],[Created Date]])*24</f>
        <v>18.739999999932479</v>
      </c>
      <c r="N369" t="str">
        <f>IF(tblTickets[[#This Row],[Customer Satisfaction]]&gt;=4,"Satisfied",IF(tblTickets[[#This Row],[Customer Satisfaction]]=3,"Neutral","Dissatisfied"))</f>
        <v>Satisfied</v>
      </c>
    </row>
    <row r="370" spans="1:14" x14ac:dyDescent="0.35">
      <c r="A370" t="s">
        <v>66</v>
      </c>
      <c r="B370" s="3">
        <v>45736</v>
      </c>
      <c r="C370" s="3">
        <v>45736.787916666668</v>
      </c>
      <c r="D370" t="s">
        <v>30</v>
      </c>
      <c r="E370" t="s">
        <v>19</v>
      </c>
      <c r="F370" t="s">
        <v>25</v>
      </c>
      <c r="G370" t="s">
        <v>15</v>
      </c>
      <c r="H370">
        <v>4</v>
      </c>
      <c r="I370">
        <v>18.91</v>
      </c>
      <c r="J370">
        <v>7.89</v>
      </c>
      <c r="K370">
        <v>4</v>
      </c>
      <c r="L370" t="str">
        <f>IF(tblTickets[[#This Row],[SLA Target (hrs)]]&gt;=tblTickets[[#This Row],[Actual Resolution Time (hrs)]],"Yes","No")</f>
        <v>No</v>
      </c>
      <c r="M370">
        <f>(tblTickets[[#This Row],[Resolved Date]]-tblTickets[[#This Row],[Created Date]])*24</f>
        <v>18.910000000032596</v>
      </c>
      <c r="N370" t="str">
        <f>IF(tblTickets[[#This Row],[Customer Satisfaction]]&gt;=4,"Satisfied",IF(tblTickets[[#This Row],[Customer Satisfaction]]=3,"Neutral","Dissatisfied"))</f>
        <v>Satisfied</v>
      </c>
    </row>
    <row r="371" spans="1:14" x14ac:dyDescent="0.35">
      <c r="A371" t="s">
        <v>309</v>
      </c>
      <c r="B371" s="3">
        <v>45675</v>
      </c>
      <c r="C371" s="3">
        <v>45675.858749999999</v>
      </c>
      <c r="D371" t="s">
        <v>30</v>
      </c>
      <c r="E371" t="s">
        <v>19</v>
      </c>
      <c r="F371" t="s">
        <v>41</v>
      </c>
      <c r="G371" t="s">
        <v>26</v>
      </c>
      <c r="H371">
        <v>4</v>
      </c>
      <c r="I371">
        <v>20.61</v>
      </c>
      <c r="J371">
        <v>6.31</v>
      </c>
      <c r="K371">
        <v>4</v>
      </c>
      <c r="L371" t="str">
        <f>IF(tblTickets[[#This Row],[SLA Target (hrs)]]&gt;=tblTickets[[#This Row],[Actual Resolution Time (hrs)]],"Yes","No")</f>
        <v>No</v>
      </c>
      <c r="M371">
        <f>(tblTickets[[#This Row],[Resolved Date]]-tblTickets[[#This Row],[Created Date]])*24</f>
        <v>20.60999999998603</v>
      </c>
      <c r="N371" t="str">
        <f>IF(tblTickets[[#This Row],[Customer Satisfaction]]&gt;=4,"Satisfied",IF(tblTickets[[#This Row],[Customer Satisfaction]]=3,"Neutral","Dissatisfied"))</f>
        <v>Satisfied</v>
      </c>
    </row>
    <row r="372" spans="1:14" x14ac:dyDescent="0.35">
      <c r="A372" t="s">
        <v>365</v>
      </c>
      <c r="B372" s="3">
        <v>45672</v>
      </c>
      <c r="C372" s="3">
        <v>45672.98541666667</v>
      </c>
      <c r="D372" t="s">
        <v>23</v>
      </c>
      <c r="E372" t="s">
        <v>19</v>
      </c>
      <c r="F372" t="s">
        <v>45</v>
      </c>
      <c r="G372" t="s">
        <v>26</v>
      </c>
      <c r="H372">
        <v>8</v>
      </c>
      <c r="I372">
        <v>23.65</v>
      </c>
      <c r="J372">
        <v>1.7</v>
      </c>
      <c r="K372">
        <v>4</v>
      </c>
      <c r="L372" t="str">
        <f>IF(tblTickets[[#This Row],[SLA Target (hrs)]]&gt;=tblTickets[[#This Row],[Actual Resolution Time (hrs)]],"Yes","No")</f>
        <v>No</v>
      </c>
      <c r="M372">
        <f>(tblTickets[[#This Row],[Resolved Date]]-tblTickets[[#This Row],[Created Date]])*24</f>
        <v>23.650000000081491</v>
      </c>
      <c r="N372" t="str">
        <f>IF(tblTickets[[#This Row],[Customer Satisfaction]]&gt;=4,"Satisfied",IF(tblTickets[[#This Row],[Customer Satisfaction]]=3,"Neutral","Dissatisfied"))</f>
        <v>Satisfied</v>
      </c>
    </row>
    <row r="373" spans="1:14" x14ac:dyDescent="0.35">
      <c r="A373" t="s">
        <v>499</v>
      </c>
      <c r="B373" s="3">
        <v>45695</v>
      </c>
      <c r="C373" s="3">
        <v>45695.990833333337</v>
      </c>
      <c r="D373" t="s">
        <v>12</v>
      </c>
      <c r="E373" t="s">
        <v>19</v>
      </c>
      <c r="F373" t="s">
        <v>14</v>
      </c>
      <c r="G373" t="s">
        <v>26</v>
      </c>
      <c r="H373">
        <v>8</v>
      </c>
      <c r="I373">
        <v>23.78</v>
      </c>
      <c r="J373">
        <v>2.52</v>
      </c>
      <c r="K373">
        <v>4</v>
      </c>
      <c r="L373" t="str">
        <f>IF(tblTickets[[#This Row],[SLA Target (hrs)]]&gt;=tblTickets[[#This Row],[Actual Resolution Time (hrs)]],"Yes","No")</f>
        <v>No</v>
      </c>
      <c r="M373">
        <f>(tblTickets[[#This Row],[Resolved Date]]-tblTickets[[#This Row],[Created Date]])*24</f>
        <v>23.780000000086147</v>
      </c>
      <c r="N373" t="str">
        <f>IF(tblTickets[[#This Row],[Customer Satisfaction]]&gt;=4,"Satisfied",IF(tblTickets[[#This Row],[Customer Satisfaction]]=3,"Neutral","Dissatisfied"))</f>
        <v>Satisfied</v>
      </c>
    </row>
    <row r="374" spans="1:14" x14ac:dyDescent="0.35">
      <c r="A374" t="s">
        <v>127</v>
      </c>
      <c r="B374" s="3">
        <v>45721</v>
      </c>
      <c r="C374" s="3">
        <v>45721.997916666667</v>
      </c>
      <c r="D374" t="s">
        <v>23</v>
      </c>
      <c r="E374" t="s">
        <v>19</v>
      </c>
      <c r="F374" t="s">
        <v>25</v>
      </c>
      <c r="G374" t="s">
        <v>26</v>
      </c>
      <c r="H374">
        <v>4</v>
      </c>
      <c r="I374">
        <v>23.95</v>
      </c>
      <c r="J374">
        <v>6.76</v>
      </c>
      <c r="K374">
        <v>4</v>
      </c>
      <c r="L374" t="str">
        <f>IF(tblTickets[[#This Row],[SLA Target (hrs)]]&gt;=tblTickets[[#This Row],[Actual Resolution Time (hrs)]],"Yes","No")</f>
        <v>No</v>
      </c>
      <c r="M374">
        <f>(tblTickets[[#This Row],[Resolved Date]]-tblTickets[[#This Row],[Created Date]])*24</f>
        <v>23.950000000011642</v>
      </c>
      <c r="N374" t="str">
        <f>IF(tblTickets[[#This Row],[Customer Satisfaction]]&gt;=4,"Satisfied",IF(tblTickets[[#This Row],[Customer Satisfaction]]=3,"Neutral","Dissatisfied"))</f>
        <v>Satisfied</v>
      </c>
    </row>
    <row r="375" spans="1:14" x14ac:dyDescent="0.35">
      <c r="A375" t="s">
        <v>281</v>
      </c>
      <c r="B375" s="3">
        <v>45684</v>
      </c>
      <c r="C375" s="3">
        <v>45685</v>
      </c>
      <c r="D375" t="s">
        <v>23</v>
      </c>
      <c r="E375" t="s">
        <v>13</v>
      </c>
      <c r="F375" t="s">
        <v>45</v>
      </c>
      <c r="G375" t="s">
        <v>26</v>
      </c>
      <c r="H375">
        <v>8</v>
      </c>
      <c r="I375">
        <v>24</v>
      </c>
      <c r="J375">
        <v>7.16</v>
      </c>
      <c r="K375">
        <v>4</v>
      </c>
      <c r="L375" t="str">
        <f>IF(tblTickets[[#This Row],[SLA Target (hrs)]]&gt;=tblTickets[[#This Row],[Actual Resolution Time (hrs)]],"Yes","No")</f>
        <v>No</v>
      </c>
      <c r="M375">
        <f>(tblTickets[[#This Row],[Resolved Date]]-tblTickets[[#This Row],[Created Date]])*24</f>
        <v>24</v>
      </c>
      <c r="N375" t="str">
        <f>IF(tblTickets[[#This Row],[Customer Satisfaction]]&gt;=4,"Satisfied",IF(tblTickets[[#This Row],[Customer Satisfaction]]=3,"Neutral","Dissatisfied"))</f>
        <v>Satisfied</v>
      </c>
    </row>
    <row r="376" spans="1:14" x14ac:dyDescent="0.35">
      <c r="A376" t="s">
        <v>130</v>
      </c>
      <c r="B376" s="3">
        <v>45693</v>
      </c>
      <c r="C376" s="3">
        <v>45694.008750000001</v>
      </c>
      <c r="D376" t="s">
        <v>34</v>
      </c>
      <c r="E376" t="s">
        <v>40</v>
      </c>
      <c r="F376" t="s">
        <v>45</v>
      </c>
      <c r="G376" t="s">
        <v>15</v>
      </c>
      <c r="H376">
        <v>4</v>
      </c>
      <c r="I376">
        <v>24.21</v>
      </c>
      <c r="J376">
        <v>7.54</v>
      </c>
      <c r="K376">
        <v>4</v>
      </c>
      <c r="L376" t="str">
        <f>IF(tblTickets[[#This Row],[SLA Target (hrs)]]&gt;=tblTickets[[#This Row],[Actual Resolution Time (hrs)]],"Yes","No")</f>
        <v>No</v>
      </c>
      <c r="M376">
        <f>(tblTickets[[#This Row],[Resolved Date]]-tblTickets[[#This Row],[Created Date]])*24</f>
        <v>24.210000000020955</v>
      </c>
      <c r="N376" t="str">
        <f>IF(tblTickets[[#This Row],[Customer Satisfaction]]&gt;=4,"Satisfied",IF(tblTickets[[#This Row],[Customer Satisfaction]]=3,"Neutral","Dissatisfied"))</f>
        <v>Satisfied</v>
      </c>
    </row>
    <row r="377" spans="1:14" x14ac:dyDescent="0.35">
      <c r="A377" t="s">
        <v>155</v>
      </c>
      <c r="B377" s="3">
        <v>45674</v>
      </c>
      <c r="C377" s="3">
        <v>45675.048333333332</v>
      </c>
      <c r="D377" t="s">
        <v>30</v>
      </c>
      <c r="E377" t="s">
        <v>40</v>
      </c>
      <c r="F377" t="s">
        <v>20</v>
      </c>
      <c r="G377" t="s">
        <v>21</v>
      </c>
      <c r="H377">
        <v>24</v>
      </c>
      <c r="I377">
        <v>25.16</v>
      </c>
      <c r="J377">
        <v>6.69</v>
      </c>
      <c r="K377">
        <v>4</v>
      </c>
      <c r="L377" t="str">
        <f>IF(tblTickets[[#This Row],[SLA Target (hrs)]]&gt;=tblTickets[[#This Row],[Actual Resolution Time (hrs)]],"Yes","No")</f>
        <v>No</v>
      </c>
      <c r="M377">
        <f>(tblTickets[[#This Row],[Resolved Date]]-tblTickets[[#This Row],[Created Date]])*24</f>
        <v>25.159999999974389</v>
      </c>
      <c r="N377" t="str">
        <f>IF(tblTickets[[#This Row],[Customer Satisfaction]]&gt;=4,"Satisfied",IF(tblTickets[[#This Row],[Customer Satisfaction]]=3,"Neutral","Dissatisfied"))</f>
        <v>Satisfied</v>
      </c>
    </row>
    <row r="378" spans="1:14" x14ac:dyDescent="0.35">
      <c r="A378" t="s">
        <v>118</v>
      </c>
      <c r="B378" s="3">
        <v>45666</v>
      </c>
      <c r="C378" s="3">
        <v>45667.054166666669</v>
      </c>
      <c r="D378" t="s">
        <v>30</v>
      </c>
      <c r="E378" t="s">
        <v>13</v>
      </c>
      <c r="F378" t="s">
        <v>45</v>
      </c>
      <c r="G378" t="s">
        <v>21</v>
      </c>
      <c r="H378">
        <v>8</v>
      </c>
      <c r="I378">
        <v>25.3</v>
      </c>
      <c r="J378">
        <v>5.27</v>
      </c>
      <c r="K378">
        <v>4</v>
      </c>
      <c r="L378" t="str">
        <f>IF(tblTickets[[#This Row],[SLA Target (hrs)]]&gt;=tblTickets[[#This Row],[Actual Resolution Time (hrs)]],"Yes","No")</f>
        <v>No</v>
      </c>
      <c r="M378">
        <f>(tblTickets[[#This Row],[Resolved Date]]-tblTickets[[#This Row],[Created Date]])*24</f>
        <v>25.300000000046566</v>
      </c>
      <c r="N378" t="str">
        <f>IF(tblTickets[[#This Row],[Customer Satisfaction]]&gt;=4,"Satisfied",IF(tblTickets[[#This Row],[Customer Satisfaction]]=3,"Neutral","Dissatisfied"))</f>
        <v>Satisfied</v>
      </c>
    </row>
    <row r="379" spans="1:14" x14ac:dyDescent="0.35">
      <c r="A379" t="s">
        <v>262</v>
      </c>
      <c r="B379" s="3">
        <v>45740</v>
      </c>
      <c r="C379" s="3">
        <v>45741.07</v>
      </c>
      <c r="D379" t="s">
        <v>12</v>
      </c>
      <c r="E379" t="s">
        <v>19</v>
      </c>
      <c r="F379" t="s">
        <v>14</v>
      </c>
      <c r="G379" t="s">
        <v>21</v>
      </c>
      <c r="H379">
        <v>4</v>
      </c>
      <c r="I379">
        <v>25.68</v>
      </c>
      <c r="J379">
        <v>1.75</v>
      </c>
      <c r="K379">
        <v>4</v>
      </c>
      <c r="L379" t="str">
        <f>IF(tblTickets[[#This Row],[SLA Target (hrs)]]&gt;=tblTickets[[#This Row],[Actual Resolution Time (hrs)]],"Yes","No")</f>
        <v>No</v>
      </c>
      <c r="M379">
        <f>(tblTickets[[#This Row],[Resolved Date]]-tblTickets[[#This Row],[Created Date]])*24</f>
        <v>25.679999999993015</v>
      </c>
      <c r="N379" t="str">
        <f>IF(tblTickets[[#This Row],[Customer Satisfaction]]&gt;=4,"Satisfied",IF(tblTickets[[#This Row],[Customer Satisfaction]]=3,"Neutral","Dissatisfied"))</f>
        <v>Satisfied</v>
      </c>
    </row>
    <row r="380" spans="1:14" x14ac:dyDescent="0.35">
      <c r="A380" t="s">
        <v>371</v>
      </c>
      <c r="B380" s="3">
        <v>45717</v>
      </c>
      <c r="C380" s="3">
        <v>45718.081666666672</v>
      </c>
      <c r="D380" t="s">
        <v>30</v>
      </c>
      <c r="E380" t="s">
        <v>17</v>
      </c>
      <c r="F380" t="s">
        <v>25</v>
      </c>
      <c r="G380" t="s">
        <v>26</v>
      </c>
      <c r="H380">
        <v>24</v>
      </c>
      <c r="I380">
        <v>25.96</v>
      </c>
      <c r="J380">
        <v>7.06</v>
      </c>
      <c r="K380">
        <v>4</v>
      </c>
      <c r="L380" t="str">
        <f>IF(tblTickets[[#This Row],[SLA Target (hrs)]]&gt;=tblTickets[[#This Row],[Actual Resolution Time (hrs)]],"Yes","No")</f>
        <v>No</v>
      </c>
      <c r="M380">
        <f>(tblTickets[[#This Row],[Resolved Date]]-tblTickets[[#This Row],[Created Date]])*24</f>
        <v>25.96000000013737</v>
      </c>
      <c r="N380" t="str">
        <f>IF(tblTickets[[#This Row],[Customer Satisfaction]]&gt;=4,"Satisfied",IF(tblTickets[[#This Row],[Customer Satisfaction]]=3,"Neutral","Dissatisfied"))</f>
        <v>Satisfied</v>
      </c>
    </row>
    <row r="381" spans="1:14" x14ac:dyDescent="0.35">
      <c r="A381" t="s">
        <v>460</v>
      </c>
      <c r="B381" s="3">
        <v>45669</v>
      </c>
      <c r="C381" s="3">
        <v>45670.087500000001</v>
      </c>
      <c r="D381" t="s">
        <v>12</v>
      </c>
      <c r="E381" t="s">
        <v>40</v>
      </c>
      <c r="F381" t="s">
        <v>20</v>
      </c>
      <c r="G381" t="s">
        <v>26</v>
      </c>
      <c r="H381">
        <v>24</v>
      </c>
      <c r="I381">
        <v>26.1</v>
      </c>
      <c r="J381">
        <v>2.5099999999999998</v>
      </c>
      <c r="K381">
        <v>4</v>
      </c>
      <c r="L381" t="str">
        <f>IF(tblTickets[[#This Row],[SLA Target (hrs)]]&gt;=tblTickets[[#This Row],[Actual Resolution Time (hrs)]],"Yes","No")</f>
        <v>No</v>
      </c>
      <c r="M381">
        <f>(tblTickets[[#This Row],[Resolved Date]]-tblTickets[[#This Row],[Created Date]])*24</f>
        <v>26.100000000034925</v>
      </c>
      <c r="N381" t="str">
        <f>IF(tblTickets[[#This Row],[Customer Satisfaction]]&gt;=4,"Satisfied",IF(tblTickets[[#This Row],[Customer Satisfaction]]=3,"Neutral","Dissatisfied"))</f>
        <v>Satisfied</v>
      </c>
    </row>
    <row r="382" spans="1:14" x14ac:dyDescent="0.35">
      <c r="A382" t="s">
        <v>514</v>
      </c>
      <c r="B382" s="3">
        <v>45709</v>
      </c>
      <c r="C382" s="3">
        <v>45710.10083333333</v>
      </c>
      <c r="D382" t="s">
        <v>30</v>
      </c>
      <c r="E382" t="s">
        <v>40</v>
      </c>
      <c r="F382" t="s">
        <v>20</v>
      </c>
      <c r="G382" t="s">
        <v>21</v>
      </c>
      <c r="H382">
        <v>8</v>
      </c>
      <c r="I382">
        <v>26.42</v>
      </c>
      <c r="J382">
        <v>3.82</v>
      </c>
      <c r="K382">
        <v>4</v>
      </c>
      <c r="L382" t="str">
        <f>IF(tblTickets[[#This Row],[SLA Target (hrs)]]&gt;=tblTickets[[#This Row],[Actual Resolution Time (hrs)]],"Yes","No")</f>
        <v>No</v>
      </c>
      <c r="M382">
        <f>(tblTickets[[#This Row],[Resolved Date]]-tblTickets[[#This Row],[Created Date]])*24</f>
        <v>26.419999999925494</v>
      </c>
      <c r="N382" t="str">
        <f>IF(tblTickets[[#This Row],[Customer Satisfaction]]&gt;=4,"Satisfied",IF(tblTickets[[#This Row],[Customer Satisfaction]]=3,"Neutral","Dissatisfied"))</f>
        <v>Satisfied</v>
      </c>
    </row>
    <row r="383" spans="1:14" x14ac:dyDescent="0.35">
      <c r="A383" t="s">
        <v>463</v>
      </c>
      <c r="B383" s="3">
        <v>45664</v>
      </c>
      <c r="C383" s="3">
        <v>45665.152083333327</v>
      </c>
      <c r="D383" t="s">
        <v>34</v>
      </c>
      <c r="E383" t="s">
        <v>17</v>
      </c>
      <c r="F383" t="s">
        <v>20</v>
      </c>
      <c r="G383" t="s">
        <v>26</v>
      </c>
      <c r="H383">
        <v>4</v>
      </c>
      <c r="I383">
        <v>27.65</v>
      </c>
      <c r="J383">
        <v>5.67</v>
      </c>
      <c r="K383">
        <v>4</v>
      </c>
      <c r="L383" t="str">
        <f>IF(tblTickets[[#This Row],[SLA Target (hrs)]]&gt;=tblTickets[[#This Row],[Actual Resolution Time (hrs)]],"Yes","No")</f>
        <v>No</v>
      </c>
      <c r="M383">
        <f>(tblTickets[[#This Row],[Resolved Date]]-tblTickets[[#This Row],[Created Date]])*24</f>
        <v>27.64999999984866</v>
      </c>
      <c r="N383" t="str">
        <f>IF(tblTickets[[#This Row],[Customer Satisfaction]]&gt;=4,"Satisfied",IF(tblTickets[[#This Row],[Customer Satisfaction]]=3,"Neutral","Dissatisfied"))</f>
        <v>Satisfied</v>
      </c>
    </row>
    <row r="384" spans="1:14" x14ac:dyDescent="0.35">
      <c r="A384" t="s">
        <v>383</v>
      </c>
      <c r="B384" s="3">
        <v>45744</v>
      </c>
      <c r="C384" s="3">
        <v>45745.159166666657</v>
      </c>
      <c r="D384" t="s">
        <v>12</v>
      </c>
      <c r="E384" t="s">
        <v>19</v>
      </c>
      <c r="F384" t="s">
        <v>25</v>
      </c>
      <c r="G384" t="s">
        <v>15</v>
      </c>
      <c r="H384">
        <v>4</v>
      </c>
      <c r="I384">
        <v>27.82</v>
      </c>
      <c r="J384">
        <v>1.79</v>
      </c>
      <c r="K384">
        <v>4</v>
      </c>
      <c r="L384" t="str">
        <f>IF(tblTickets[[#This Row],[SLA Target (hrs)]]&gt;=tblTickets[[#This Row],[Actual Resolution Time (hrs)]],"Yes","No")</f>
        <v>No</v>
      </c>
      <c r="M384">
        <f>(tblTickets[[#This Row],[Resolved Date]]-tblTickets[[#This Row],[Created Date]])*24</f>
        <v>27.819999999774154</v>
      </c>
      <c r="N384" t="str">
        <f>IF(tblTickets[[#This Row],[Customer Satisfaction]]&gt;=4,"Satisfied",IF(tblTickets[[#This Row],[Customer Satisfaction]]=3,"Neutral","Dissatisfied"))</f>
        <v>Satisfied</v>
      </c>
    </row>
    <row r="385" spans="1:14" x14ac:dyDescent="0.35">
      <c r="A385" t="s">
        <v>210</v>
      </c>
      <c r="B385" s="3">
        <v>45722</v>
      </c>
      <c r="C385" s="3">
        <v>45723.210416666669</v>
      </c>
      <c r="D385" t="s">
        <v>30</v>
      </c>
      <c r="E385" t="s">
        <v>13</v>
      </c>
      <c r="F385" t="s">
        <v>20</v>
      </c>
      <c r="G385" t="s">
        <v>21</v>
      </c>
      <c r="H385">
        <v>8</v>
      </c>
      <c r="I385">
        <v>29.05</v>
      </c>
      <c r="J385">
        <v>2</v>
      </c>
      <c r="K385">
        <v>4</v>
      </c>
      <c r="L385" t="str">
        <f>IF(tblTickets[[#This Row],[SLA Target (hrs)]]&gt;=tblTickets[[#This Row],[Actual Resolution Time (hrs)]],"Yes","No")</f>
        <v>No</v>
      </c>
      <c r="M385">
        <f>(tblTickets[[#This Row],[Resolved Date]]-tblTickets[[#This Row],[Created Date]])*24</f>
        <v>29.050000000046566</v>
      </c>
      <c r="N385" t="str">
        <f>IF(tblTickets[[#This Row],[Customer Satisfaction]]&gt;=4,"Satisfied",IF(tblTickets[[#This Row],[Customer Satisfaction]]=3,"Neutral","Dissatisfied"))</f>
        <v>Satisfied</v>
      </c>
    </row>
    <row r="386" spans="1:14" x14ac:dyDescent="0.35">
      <c r="A386" t="s">
        <v>33</v>
      </c>
      <c r="B386" s="3">
        <v>45725</v>
      </c>
      <c r="C386" s="3">
        <v>45726.224166666667</v>
      </c>
      <c r="D386" t="s">
        <v>34</v>
      </c>
      <c r="E386" t="s">
        <v>19</v>
      </c>
      <c r="F386" t="s">
        <v>20</v>
      </c>
      <c r="G386" t="s">
        <v>21</v>
      </c>
      <c r="H386">
        <v>4</v>
      </c>
      <c r="I386">
        <v>29.38</v>
      </c>
      <c r="J386">
        <v>1.03</v>
      </c>
      <c r="K386">
        <v>4</v>
      </c>
      <c r="L386" t="str">
        <f>IF(tblTickets[[#This Row],[SLA Target (hrs)]]&gt;=tblTickets[[#This Row],[Actual Resolution Time (hrs)]],"Yes","No")</f>
        <v>No</v>
      </c>
      <c r="M386">
        <f>(tblTickets[[#This Row],[Resolved Date]]-tblTickets[[#This Row],[Created Date]])*24</f>
        <v>29.380000000004657</v>
      </c>
      <c r="N386" t="str">
        <f>IF(tblTickets[[#This Row],[Customer Satisfaction]]&gt;=4,"Satisfied",IF(tblTickets[[#This Row],[Customer Satisfaction]]=3,"Neutral","Dissatisfied"))</f>
        <v>Satisfied</v>
      </c>
    </row>
    <row r="387" spans="1:14" x14ac:dyDescent="0.35">
      <c r="A387" t="s">
        <v>446</v>
      </c>
      <c r="B387" s="3">
        <v>45714</v>
      </c>
      <c r="C387" s="3">
        <v>45715.249583333331</v>
      </c>
      <c r="D387" t="s">
        <v>12</v>
      </c>
      <c r="E387" t="s">
        <v>40</v>
      </c>
      <c r="F387" t="s">
        <v>45</v>
      </c>
      <c r="G387" t="s">
        <v>21</v>
      </c>
      <c r="H387">
        <v>24</v>
      </c>
      <c r="I387">
        <v>29.99</v>
      </c>
      <c r="J387">
        <v>0.94</v>
      </c>
      <c r="K387">
        <v>4</v>
      </c>
      <c r="L387" t="str">
        <f>IF(tblTickets[[#This Row],[SLA Target (hrs)]]&gt;=tblTickets[[#This Row],[Actual Resolution Time (hrs)]],"Yes","No")</f>
        <v>No</v>
      </c>
      <c r="M387">
        <f>(tblTickets[[#This Row],[Resolved Date]]-tblTickets[[#This Row],[Created Date]])*24</f>
        <v>29.989999999932479</v>
      </c>
      <c r="N387" t="str">
        <f>IF(tblTickets[[#This Row],[Customer Satisfaction]]&gt;=4,"Satisfied",IF(tblTickets[[#This Row],[Customer Satisfaction]]=3,"Neutral","Dissatisfied"))</f>
        <v>Satisfied</v>
      </c>
    </row>
    <row r="388" spans="1:14" x14ac:dyDescent="0.35">
      <c r="A388" t="s">
        <v>452</v>
      </c>
      <c r="B388" s="3">
        <v>45669</v>
      </c>
      <c r="C388" s="3">
        <v>45670.265833333331</v>
      </c>
      <c r="D388" t="s">
        <v>12</v>
      </c>
      <c r="E388" t="s">
        <v>40</v>
      </c>
      <c r="F388" t="s">
        <v>20</v>
      </c>
      <c r="G388" t="s">
        <v>26</v>
      </c>
      <c r="H388">
        <v>8</v>
      </c>
      <c r="I388">
        <v>30.38</v>
      </c>
      <c r="J388">
        <v>1.1499999999999999</v>
      </c>
      <c r="K388">
        <v>4</v>
      </c>
      <c r="L388" t="str">
        <f>IF(tblTickets[[#This Row],[SLA Target (hrs)]]&gt;=tblTickets[[#This Row],[Actual Resolution Time (hrs)]],"Yes","No")</f>
        <v>No</v>
      </c>
      <c r="M388">
        <f>(tblTickets[[#This Row],[Resolved Date]]-tblTickets[[#This Row],[Created Date]])*24</f>
        <v>30.379999999946449</v>
      </c>
      <c r="N388" t="str">
        <f>IF(tblTickets[[#This Row],[Customer Satisfaction]]&gt;=4,"Satisfied",IF(tblTickets[[#This Row],[Customer Satisfaction]]=3,"Neutral","Dissatisfied"))</f>
        <v>Satisfied</v>
      </c>
    </row>
    <row r="389" spans="1:14" x14ac:dyDescent="0.35">
      <c r="A389" t="s">
        <v>416</v>
      </c>
      <c r="B389" s="3">
        <v>45726</v>
      </c>
      <c r="C389" s="3">
        <v>45727.292916666673</v>
      </c>
      <c r="D389" t="s">
        <v>30</v>
      </c>
      <c r="E389" t="s">
        <v>17</v>
      </c>
      <c r="F389" t="s">
        <v>45</v>
      </c>
      <c r="G389" t="s">
        <v>15</v>
      </c>
      <c r="H389">
        <v>24</v>
      </c>
      <c r="I389">
        <v>31.03</v>
      </c>
      <c r="J389">
        <v>4.6399999999999997</v>
      </c>
      <c r="K389">
        <v>4</v>
      </c>
      <c r="L389" t="str">
        <f>IF(tblTickets[[#This Row],[SLA Target (hrs)]]&gt;=tblTickets[[#This Row],[Actual Resolution Time (hrs)]],"Yes","No")</f>
        <v>No</v>
      </c>
      <c r="M389">
        <f>(tblTickets[[#This Row],[Resolved Date]]-tblTickets[[#This Row],[Created Date]])*24</f>
        <v>31.030000000144355</v>
      </c>
      <c r="N389" t="str">
        <f>IF(tblTickets[[#This Row],[Customer Satisfaction]]&gt;=4,"Satisfied",IF(tblTickets[[#This Row],[Customer Satisfaction]]=3,"Neutral","Dissatisfied"))</f>
        <v>Satisfied</v>
      </c>
    </row>
    <row r="390" spans="1:14" x14ac:dyDescent="0.35">
      <c r="A390" t="s">
        <v>139</v>
      </c>
      <c r="B390" s="3">
        <v>45680</v>
      </c>
      <c r="C390" s="3">
        <v>45681.311666666668</v>
      </c>
      <c r="D390" t="s">
        <v>23</v>
      </c>
      <c r="E390" t="s">
        <v>19</v>
      </c>
      <c r="F390" t="s">
        <v>14</v>
      </c>
      <c r="G390" t="s">
        <v>15</v>
      </c>
      <c r="H390">
        <v>4</v>
      </c>
      <c r="I390">
        <v>31.48</v>
      </c>
      <c r="J390">
        <v>0.93</v>
      </c>
      <c r="K390">
        <v>4</v>
      </c>
      <c r="L390" t="str">
        <f>IF(tblTickets[[#This Row],[SLA Target (hrs)]]&gt;=tblTickets[[#This Row],[Actual Resolution Time (hrs)]],"Yes","No")</f>
        <v>No</v>
      </c>
      <c r="M390">
        <f>(tblTickets[[#This Row],[Resolved Date]]-tblTickets[[#This Row],[Created Date]])*24</f>
        <v>31.480000000039581</v>
      </c>
      <c r="N390" t="str">
        <f>IF(tblTickets[[#This Row],[Customer Satisfaction]]&gt;=4,"Satisfied",IF(tblTickets[[#This Row],[Customer Satisfaction]]=3,"Neutral","Dissatisfied"))</f>
        <v>Satisfied</v>
      </c>
    </row>
    <row r="391" spans="1:14" x14ac:dyDescent="0.35">
      <c r="A391" t="s">
        <v>143</v>
      </c>
      <c r="B391" s="3">
        <v>45664</v>
      </c>
      <c r="C391" s="3">
        <v>45665.373749999999</v>
      </c>
      <c r="D391" t="s">
        <v>30</v>
      </c>
      <c r="E391" t="s">
        <v>40</v>
      </c>
      <c r="F391" t="s">
        <v>25</v>
      </c>
      <c r="G391" t="s">
        <v>26</v>
      </c>
      <c r="H391">
        <v>24</v>
      </c>
      <c r="I391">
        <v>32.97</v>
      </c>
      <c r="J391">
        <v>1.24</v>
      </c>
      <c r="K391">
        <v>4</v>
      </c>
      <c r="L391" t="str">
        <f>IF(tblTickets[[#This Row],[SLA Target (hrs)]]&gt;=tblTickets[[#This Row],[Actual Resolution Time (hrs)]],"Yes","No")</f>
        <v>No</v>
      </c>
      <c r="M391">
        <f>(tblTickets[[#This Row],[Resolved Date]]-tblTickets[[#This Row],[Created Date]])*24</f>
        <v>32.96999999997206</v>
      </c>
      <c r="N391" t="str">
        <f>IF(tblTickets[[#This Row],[Customer Satisfaction]]&gt;=4,"Satisfied",IF(tblTickets[[#This Row],[Customer Satisfaction]]=3,"Neutral","Dissatisfied"))</f>
        <v>Satisfied</v>
      </c>
    </row>
    <row r="392" spans="1:14" x14ac:dyDescent="0.35">
      <c r="A392" t="s">
        <v>406</v>
      </c>
      <c r="B392" s="3">
        <v>45713</v>
      </c>
      <c r="C392" s="3">
        <v>45714.383750000001</v>
      </c>
      <c r="D392" t="s">
        <v>34</v>
      </c>
      <c r="E392" t="s">
        <v>40</v>
      </c>
      <c r="F392" t="s">
        <v>45</v>
      </c>
      <c r="G392" t="s">
        <v>21</v>
      </c>
      <c r="H392">
        <v>4</v>
      </c>
      <c r="I392">
        <v>33.21</v>
      </c>
      <c r="J392">
        <v>7.67</v>
      </c>
      <c r="K392">
        <v>4</v>
      </c>
      <c r="L392" t="str">
        <f>IF(tblTickets[[#This Row],[SLA Target (hrs)]]&gt;=tblTickets[[#This Row],[Actual Resolution Time (hrs)]],"Yes","No")</f>
        <v>No</v>
      </c>
      <c r="M392">
        <f>(tblTickets[[#This Row],[Resolved Date]]-tblTickets[[#This Row],[Created Date]])*24</f>
        <v>33.210000000020955</v>
      </c>
      <c r="N392" t="str">
        <f>IF(tblTickets[[#This Row],[Customer Satisfaction]]&gt;=4,"Satisfied",IF(tblTickets[[#This Row],[Customer Satisfaction]]=3,"Neutral","Dissatisfied"))</f>
        <v>Satisfied</v>
      </c>
    </row>
    <row r="393" spans="1:14" x14ac:dyDescent="0.35">
      <c r="A393" t="s">
        <v>260</v>
      </c>
      <c r="B393" s="3">
        <v>45666</v>
      </c>
      <c r="C393" s="3">
        <v>45667.447500000002</v>
      </c>
      <c r="D393" t="s">
        <v>30</v>
      </c>
      <c r="E393" t="s">
        <v>17</v>
      </c>
      <c r="F393" t="s">
        <v>25</v>
      </c>
      <c r="G393" t="s">
        <v>21</v>
      </c>
      <c r="H393">
        <v>8</v>
      </c>
      <c r="I393">
        <v>34.74</v>
      </c>
      <c r="J393">
        <v>1.22</v>
      </c>
      <c r="K393">
        <v>4</v>
      </c>
      <c r="L393" t="str">
        <f>IF(tblTickets[[#This Row],[SLA Target (hrs)]]&gt;=tblTickets[[#This Row],[Actual Resolution Time (hrs)]],"Yes","No")</f>
        <v>No</v>
      </c>
      <c r="M393">
        <f>(tblTickets[[#This Row],[Resolved Date]]-tblTickets[[#This Row],[Created Date]])*24</f>
        <v>34.740000000048894</v>
      </c>
      <c r="N393" t="str">
        <f>IF(tblTickets[[#This Row],[Customer Satisfaction]]&gt;=4,"Satisfied",IF(tblTickets[[#This Row],[Customer Satisfaction]]=3,"Neutral","Dissatisfied"))</f>
        <v>Satisfied</v>
      </c>
    </row>
    <row r="394" spans="1:14" x14ac:dyDescent="0.35">
      <c r="A394" t="s">
        <v>358</v>
      </c>
      <c r="B394" s="3">
        <v>45730</v>
      </c>
      <c r="C394" s="3">
        <v>45730.042500000003</v>
      </c>
      <c r="D394" t="s">
        <v>23</v>
      </c>
      <c r="E394" t="s">
        <v>19</v>
      </c>
      <c r="F394" t="s">
        <v>41</v>
      </c>
      <c r="G394" t="s">
        <v>21</v>
      </c>
      <c r="H394">
        <v>4</v>
      </c>
      <c r="I394">
        <v>1.02</v>
      </c>
      <c r="J394">
        <v>4.12</v>
      </c>
      <c r="K394">
        <v>5</v>
      </c>
      <c r="L394" t="str">
        <f>IF(tblTickets[[#This Row],[SLA Target (hrs)]]&gt;=tblTickets[[#This Row],[Actual Resolution Time (hrs)]],"Yes","No")</f>
        <v>Yes</v>
      </c>
      <c r="M394">
        <f>(tblTickets[[#This Row],[Resolved Date]]-tblTickets[[#This Row],[Created Date]])*24</f>
        <v>1.0200000000768341</v>
      </c>
      <c r="N394" t="str">
        <f>IF(tblTickets[[#This Row],[Customer Satisfaction]]&gt;=4,"Satisfied",IF(tblTickets[[#This Row],[Customer Satisfaction]]=3,"Neutral","Dissatisfied"))</f>
        <v>Satisfied</v>
      </c>
    </row>
    <row r="395" spans="1:14" x14ac:dyDescent="0.35">
      <c r="A395" t="s">
        <v>116</v>
      </c>
      <c r="B395" s="3">
        <v>45715</v>
      </c>
      <c r="C395" s="3">
        <v>45715.070416666669</v>
      </c>
      <c r="D395" t="s">
        <v>23</v>
      </c>
      <c r="E395" t="s">
        <v>17</v>
      </c>
      <c r="F395" t="s">
        <v>14</v>
      </c>
      <c r="G395" t="s">
        <v>15</v>
      </c>
      <c r="H395">
        <v>8</v>
      </c>
      <c r="I395">
        <v>1.69</v>
      </c>
      <c r="J395">
        <v>6.98</v>
      </c>
      <c r="K395">
        <v>5</v>
      </c>
      <c r="L395" t="str">
        <f>IF(tblTickets[[#This Row],[SLA Target (hrs)]]&gt;=tblTickets[[#This Row],[Actual Resolution Time (hrs)]],"Yes","No")</f>
        <v>Yes</v>
      </c>
      <c r="M395">
        <f>(tblTickets[[#This Row],[Resolved Date]]-tblTickets[[#This Row],[Created Date]])*24</f>
        <v>1.690000000060536</v>
      </c>
      <c r="N395" t="str">
        <f>IF(tblTickets[[#This Row],[Customer Satisfaction]]&gt;=4,"Satisfied",IF(tblTickets[[#This Row],[Customer Satisfaction]]=3,"Neutral","Dissatisfied"))</f>
        <v>Satisfied</v>
      </c>
    </row>
    <row r="396" spans="1:14" x14ac:dyDescent="0.35">
      <c r="A396" t="s">
        <v>442</v>
      </c>
      <c r="B396" s="3">
        <v>45684</v>
      </c>
      <c r="C396" s="3">
        <v>45684.081250000003</v>
      </c>
      <c r="D396" t="s">
        <v>34</v>
      </c>
      <c r="E396" t="s">
        <v>13</v>
      </c>
      <c r="F396" t="s">
        <v>25</v>
      </c>
      <c r="G396" t="s">
        <v>21</v>
      </c>
      <c r="H396">
        <v>24</v>
      </c>
      <c r="I396">
        <v>1.95</v>
      </c>
      <c r="J396">
        <v>2.0099999999999998</v>
      </c>
      <c r="K396">
        <v>5</v>
      </c>
      <c r="L396" t="str">
        <f>IF(tblTickets[[#This Row],[SLA Target (hrs)]]&gt;=tblTickets[[#This Row],[Actual Resolution Time (hrs)]],"Yes","No")</f>
        <v>Yes</v>
      </c>
      <c r="M396">
        <f>(tblTickets[[#This Row],[Resolved Date]]-tblTickets[[#This Row],[Created Date]])*24</f>
        <v>1.9500000000698492</v>
      </c>
      <c r="N396" t="str">
        <f>IF(tblTickets[[#This Row],[Customer Satisfaction]]&gt;=4,"Satisfied",IF(tblTickets[[#This Row],[Customer Satisfaction]]=3,"Neutral","Dissatisfied"))</f>
        <v>Satisfied</v>
      </c>
    </row>
    <row r="397" spans="1:14" x14ac:dyDescent="0.35">
      <c r="A397" t="s">
        <v>120</v>
      </c>
      <c r="B397" s="3">
        <v>45725</v>
      </c>
      <c r="C397" s="3">
        <v>45725.087916666656</v>
      </c>
      <c r="D397" t="s">
        <v>12</v>
      </c>
      <c r="E397" t="s">
        <v>19</v>
      </c>
      <c r="F397" t="s">
        <v>14</v>
      </c>
      <c r="G397" t="s">
        <v>21</v>
      </c>
      <c r="H397">
        <v>4</v>
      </c>
      <c r="I397">
        <v>2.11</v>
      </c>
      <c r="J397">
        <v>4.0999999999999996</v>
      </c>
      <c r="K397">
        <v>5</v>
      </c>
      <c r="L397" t="str">
        <f>IF(tblTickets[[#This Row],[SLA Target (hrs)]]&gt;=tblTickets[[#This Row],[Actual Resolution Time (hrs)]],"Yes","No")</f>
        <v>Yes</v>
      </c>
      <c r="M397">
        <f>(tblTickets[[#This Row],[Resolved Date]]-tblTickets[[#This Row],[Created Date]])*24</f>
        <v>2.1099999997531995</v>
      </c>
      <c r="N397" t="str">
        <f>IF(tblTickets[[#This Row],[Customer Satisfaction]]&gt;=4,"Satisfied",IF(tblTickets[[#This Row],[Customer Satisfaction]]=3,"Neutral","Dissatisfied"))</f>
        <v>Satisfied</v>
      </c>
    </row>
    <row r="398" spans="1:14" x14ac:dyDescent="0.35">
      <c r="A398" t="s">
        <v>42</v>
      </c>
      <c r="B398" s="3">
        <v>45726</v>
      </c>
      <c r="C398" s="3">
        <v>45726.100416666668</v>
      </c>
      <c r="D398" t="s">
        <v>23</v>
      </c>
      <c r="E398" t="s">
        <v>17</v>
      </c>
      <c r="F398" t="s">
        <v>14</v>
      </c>
      <c r="G398" t="s">
        <v>26</v>
      </c>
      <c r="H398">
        <v>4</v>
      </c>
      <c r="I398">
        <v>2.41</v>
      </c>
      <c r="J398">
        <v>6.16</v>
      </c>
      <c r="K398">
        <v>5</v>
      </c>
      <c r="L398" t="str">
        <f>IF(tblTickets[[#This Row],[SLA Target (hrs)]]&gt;=tblTickets[[#This Row],[Actual Resolution Time (hrs)]],"Yes","No")</f>
        <v>Yes</v>
      </c>
      <c r="M398">
        <f>(tblTickets[[#This Row],[Resolved Date]]-tblTickets[[#This Row],[Created Date]])*24</f>
        <v>2.4100000000325963</v>
      </c>
      <c r="N398" t="str">
        <f>IF(tblTickets[[#This Row],[Customer Satisfaction]]&gt;=4,"Satisfied",IF(tblTickets[[#This Row],[Customer Satisfaction]]=3,"Neutral","Dissatisfied"))</f>
        <v>Satisfied</v>
      </c>
    </row>
    <row r="399" spans="1:14" x14ac:dyDescent="0.35">
      <c r="A399" t="s">
        <v>103</v>
      </c>
      <c r="B399" s="3">
        <v>45678</v>
      </c>
      <c r="C399" s="3">
        <v>45678.130833333344</v>
      </c>
      <c r="D399" t="s">
        <v>12</v>
      </c>
      <c r="E399" t="s">
        <v>40</v>
      </c>
      <c r="F399" t="s">
        <v>20</v>
      </c>
      <c r="G399" t="s">
        <v>21</v>
      </c>
      <c r="H399">
        <v>24</v>
      </c>
      <c r="I399">
        <v>3.14</v>
      </c>
      <c r="J399">
        <v>1.53</v>
      </c>
      <c r="K399">
        <v>5</v>
      </c>
      <c r="L399" t="str">
        <f>IF(tblTickets[[#This Row],[SLA Target (hrs)]]&gt;=tblTickets[[#This Row],[Actual Resolution Time (hrs)]],"Yes","No")</f>
        <v>Yes</v>
      </c>
      <c r="M399">
        <f>(tblTickets[[#This Row],[Resolved Date]]-tblTickets[[#This Row],[Created Date]])*24</f>
        <v>3.1400000002468005</v>
      </c>
      <c r="N399" t="str">
        <f>IF(tblTickets[[#This Row],[Customer Satisfaction]]&gt;=4,"Satisfied",IF(tblTickets[[#This Row],[Customer Satisfaction]]=3,"Neutral","Dissatisfied"))</f>
        <v>Satisfied</v>
      </c>
    </row>
    <row r="400" spans="1:14" x14ac:dyDescent="0.35">
      <c r="A400" t="s">
        <v>479</v>
      </c>
      <c r="B400" s="3">
        <v>45711</v>
      </c>
      <c r="C400" s="3">
        <v>45711.175416666672</v>
      </c>
      <c r="D400" t="s">
        <v>34</v>
      </c>
      <c r="E400" t="s">
        <v>13</v>
      </c>
      <c r="F400" t="s">
        <v>41</v>
      </c>
      <c r="G400" t="s">
        <v>26</v>
      </c>
      <c r="H400">
        <v>24</v>
      </c>
      <c r="I400">
        <v>4.21</v>
      </c>
      <c r="J400">
        <v>4.58</v>
      </c>
      <c r="K400">
        <v>5</v>
      </c>
      <c r="L400" t="str">
        <f>IF(tblTickets[[#This Row],[SLA Target (hrs)]]&gt;=tblTickets[[#This Row],[Actual Resolution Time (hrs)]],"Yes","No")</f>
        <v>Yes</v>
      </c>
      <c r="M400">
        <f>(tblTickets[[#This Row],[Resolved Date]]-tblTickets[[#This Row],[Created Date]])*24</f>
        <v>4.2100000001373701</v>
      </c>
      <c r="N400" t="str">
        <f>IF(tblTickets[[#This Row],[Customer Satisfaction]]&gt;=4,"Satisfied",IF(tblTickets[[#This Row],[Customer Satisfaction]]=3,"Neutral","Dissatisfied"))</f>
        <v>Satisfied</v>
      </c>
    </row>
    <row r="401" spans="1:14" x14ac:dyDescent="0.35">
      <c r="A401" t="s">
        <v>44</v>
      </c>
      <c r="B401" s="3">
        <v>45713</v>
      </c>
      <c r="C401" s="3">
        <v>45713.18</v>
      </c>
      <c r="D401" t="s">
        <v>34</v>
      </c>
      <c r="E401" t="s">
        <v>17</v>
      </c>
      <c r="F401" t="s">
        <v>45</v>
      </c>
      <c r="G401" t="s">
        <v>21</v>
      </c>
      <c r="H401">
        <v>24</v>
      </c>
      <c r="I401">
        <v>4.32</v>
      </c>
      <c r="J401">
        <v>3.12</v>
      </c>
      <c r="K401">
        <v>5</v>
      </c>
      <c r="L401" t="str">
        <f>IF(tblTickets[[#This Row],[SLA Target (hrs)]]&gt;=tblTickets[[#This Row],[Actual Resolution Time (hrs)]],"Yes","No")</f>
        <v>Yes</v>
      </c>
      <c r="M401">
        <f>(tblTickets[[#This Row],[Resolved Date]]-tblTickets[[#This Row],[Created Date]])*24</f>
        <v>4.3200000000069849</v>
      </c>
      <c r="N401" t="str">
        <f>IF(tblTickets[[#This Row],[Customer Satisfaction]]&gt;=4,"Satisfied",IF(tblTickets[[#This Row],[Customer Satisfaction]]=3,"Neutral","Dissatisfied"))</f>
        <v>Satisfied</v>
      </c>
    </row>
    <row r="402" spans="1:14" x14ac:dyDescent="0.35">
      <c r="A402" t="s">
        <v>336</v>
      </c>
      <c r="B402" s="3">
        <v>45726</v>
      </c>
      <c r="C402" s="3">
        <v>45726.205000000002</v>
      </c>
      <c r="D402" t="s">
        <v>30</v>
      </c>
      <c r="E402" t="s">
        <v>40</v>
      </c>
      <c r="F402" t="s">
        <v>25</v>
      </c>
      <c r="G402" t="s">
        <v>15</v>
      </c>
      <c r="H402">
        <v>8</v>
      </c>
      <c r="I402">
        <v>4.92</v>
      </c>
      <c r="J402">
        <v>7.97</v>
      </c>
      <c r="K402">
        <v>5</v>
      </c>
      <c r="L402" t="str">
        <f>IF(tblTickets[[#This Row],[SLA Target (hrs)]]&gt;=tblTickets[[#This Row],[Actual Resolution Time (hrs)]],"Yes","No")</f>
        <v>Yes</v>
      </c>
      <c r="M402">
        <f>(tblTickets[[#This Row],[Resolved Date]]-tblTickets[[#This Row],[Created Date]])*24</f>
        <v>4.9200000000419095</v>
      </c>
      <c r="N402" t="str">
        <f>IF(tblTickets[[#This Row],[Customer Satisfaction]]&gt;=4,"Satisfied",IF(tblTickets[[#This Row],[Customer Satisfaction]]=3,"Neutral","Dissatisfied"))</f>
        <v>Satisfied</v>
      </c>
    </row>
    <row r="403" spans="1:14" x14ac:dyDescent="0.35">
      <c r="A403" t="s">
        <v>73</v>
      </c>
      <c r="B403" s="3">
        <v>45728</v>
      </c>
      <c r="C403" s="3">
        <v>45728.237500000003</v>
      </c>
      <c r="D403" t="s">
        <v>34</v>
      </c>
      <c r="E403" t="s">
        <v>19</v>
      </c>
      <c r="F403" t="s">
        <v>20</v>
      </c>
      <c r="G403" t="s">
        <v>26</v>
      </c>
      <c r="H403">
        <v>8</v>
      </c>
      <c r="I403">
        <v>5.7</v>
      </c>
      <c r="J403">
        <v>6.53</v>
      </c>
      <c r="K403">
        <v>5</v>
      </c>
      <c r="L403" t="str">
        <f>IF(tblTickets[[#This Row],[SLA Target (hrs)]]&gt;=tblTickets[[#This Row],[Actual Resolution Time (hrs)]],"Yes","No")</f>
        <v>Yes</v>
      </c>
      <c r="M403">
        <f>(tblTickets[[#This Row],[Resolved Date]]-tblTickets[[#This Row],[Created Date]])*24</f>
        <v>5.7000000000698492</v>
      </c>
      <c r="N403" t="str">
        <f>IF(tblTickets[[#This Row],[Customer Satisfaction]]&gt;=4,"Satisfied",IF(tblTickets[[#This Row],[Customer Satisfaction]]=3,"Neutral","Dissatisfied"))</f>
        <v>Satisfied</v>
      </c>
    </row>
    <row r="404" spans="1:14" x14ac:dyDescent="0.35">
      <c r="A404" t="s">
        <v>133</v>
      </c>
      <c r="B404" s="3">
        <v>45721</v>
      </c>
      <c r="C404" s="3">
        <v>45721.462500000001</v>
      </c>
      <c r="D404" t="s">
        <v>23</v>
      </c>
      <c r="E404" t="s">
        <v>40</v>
      </c>
      <c r="F404" t="s">
        <v>20</v>
      </c>
      <c r="G404" t="s">
        <v>26</v>
      </c>
      <c r="H404">
        <v>24</v>
      </c>
      <c r="I404">
        <v>11.1</v>
      </c>
      <c r="J404">
        <v>5.36</v>
      </c>
      <c r="K404">
        <v>5</v>
      </c>
      <c r="L404" t="str">
        <f>IF(tblTickets[[#This Row],[SLA Target (hrs)]]&gt;=tblTickets[[#This Row],[Actual Resolution Time (hrs)]],"Yes","No")</f>
        <v>Yes</v>
      </c>
      <c r="M404">
        <f>(tblTickets[[#This Row],[Resolved Date]]-tblTickets[[#This Row],[Created Date]])*24</f>
        <v>11.100000000034925</v>
      </c>
      <c r="N404" t="str">
        <f>IF(tblTickets[[#This Row],[Customer Satisfaction]]&gt;=4,"Satisfied",IF(tblTickets[[#This Row],[Customer Satisfaction]]=3,"Neutral","Dissatisfied"))</f>
        <v>Satisfied</v>
      </c>
    </row>
    <row r="405" spans="1:14" x14ac:dyDescent="0.35">
      <c r="A405" t="s">
        <v>108</v>
      </c>
      <c r="B405" s="3">
        <v>45662</v>
      </c>
      <c r="C405" s="3">
        <v>45662.494583333333</v>
      </c>
      <c r="D405" t="s">
        <v>34</v>
      </c>
      <c r="E405" t="s">
        <v>17</v>
      </c>
      <c r="F405" t="s">
        <v>25</v>
      </c>
      <c r="G405" t="s">
        <v>21</v>
      </c>
      <c r="H405">
        <v>24</v>
      </c>
      <c r="I405">
        <v>11.87</v>
      </c>
      <c r="J405">
        <v>3.69</v>
      </c>
      <c r="K405">
        <v>5</v>
      </c>
      <c r="L405" t="str">
        <f>IF(tblTickets[[#This Row],[SLA Target (hrs)]]&gt;=tblTickets[[#This Row],[Actual Resolution Time (hrs)]],"Yes","No")</f>
        <v>Yes</v>
      </c>
      <c r="M405">
        <f>(tblTickets[[#This Row],[Resolved Date]]-tblTickets[[#This Row],[Created Date]])*24</f>
        <v>11.869999999995343</v>
      </c>
      <c r="N405" t="str">
        <f>IF(tblTickets[[#This Row],[Customer Satisfaction]]&gt;=4,"Satisfied",IF(tblTickets[[#This Row],[Customer Satisfaction]]=3,"Neutral","Dissatisfied"))</f>
        <v>Satisfied</v>
      </c>
    </row>
    <row r="406" spans="1:14" x14ac:dyDescent="0.35">
      <c r="A406" t="s">
        <v>322</v>
      </c>
      <c r="B406" s="3">
        <v>45742</v>
      </c>
      <c r="C406" s="3">
        <v>45742.53</v>
      </c>
      <c r="D406" t="s">
        <v>30</v>
      </c>
      <c r="E406" t="s">
        <v>40</v>
      </c>
      <c r="F406" t="s">
        <v>41</v>
      </c>
      <c r="G406" t="s">
        <v>21</v>
      </c>
      <c r="H406">
        <v>24</v>
      </c>
      <c r="I406">
        <v>12.72</v>
      </c>
      <c r="J406">
        <v>3.9</v>
      </c>
      <c r="K406">
        <v>5</v>
      </c>
      <c r="L406" t="str">
        <f>IF(tblTickets[[#This Row],[SLA Target (hrs)]]&gt;=tblTickets[[#This Row],[Actual Resolution Time (hrs)]],"Yes","No")</f>
        <v>Yes</v>
      </c>
      <c r="M406">
        <f>(tblTickets[[#This Row],[Resolved Date]]-tblTickets[[#This Row],[Created Date]])*24</f>
        <v>12.71999999997206</v>
      </c>
      <c r="N406" t="str">
        <f>IF(tblTickets[[#This Row],[Customer Satisfaction]]&gt;=4,"Satisfied",IF(tblTickets[[#This Row],[Customer Satisfaction]]=3,"Neutral","Dissatisfied"))</f>
        <v>Satisfied</v>
      </c>
    </row>
    <row r="407" spans="1:14" x14ac:dyDescent="0.35">
      <c r="A407" t="s">
        <v>483</v>
      </c>
      <c r="B407" s="3">
        <v>45705</v>
      </c>
      <c r="C407" s="3">
        <v>45705.606666666667</v>
      </c>
      <c r="D407" t="s">
        <v>34</v>
      </c>
      <c r="E407" t="s">
        <v>40</v>
      </c>
      <c r="F407" t="s">
        <v>41</v>
      </c>
      <c r="G407" t="s">
        <v>15</v>
      </c>
      <c r="H407">
        <v>24</v>
      </c>
      <c r="I407">
        <v>14.56</v>
      </c>
      <c r="J407">
        <v>4.1900000000000004</v>
      </c>
      <c r="K407">
        <v>5</v>
      </c>
      <c r="L407" t="str">
        <f>IF(tblTickets[[#This Row],[SLA Target (hrs)]]&gt;=tblTickets[[#This Row],[Actual Resolution Time (hrs)]],"Yes","No")</f>
        <v>Yes</v>
      </c>
      <c r="M407">
        <f>(tblTickets[[#This Row],[Resolved Date]]-tblTickets[[#This Row],[Created Date]])*24</f>
        <v>14.559999999997672</v>
      </c>
      <c r="N407" t="str">
        <f>IF(tblTickets[[#This Row],[Customer Satisfaction]]&gt;=4,"Satisfied",IF(tblTickets[[#This Row],[Customer Satisfaction]]=3,"Neutral","Dissatisfied"))</f>
        <v>Satisfied</v>
      </c>
    </row>
    <row r="408" spans="1:14" x14ac:dyDescent="0.35">
      <c r="A408" t="s">
        <v>206</v>
      </c>
      <c r="B408" s="3">
        <v>45661</v>
      </c>
      <c r="C408" s="3">
        <v>45661.645833333343</v>
      </c>
      <c r="D408" t="s">
        <v>23</v>
      </c>
      <c r="E408" t="s">
        <v>17</v>
      </c>
      <c r="F408" t="s">
        <v>41</v>
      </c>
      <c r="G408" t="s">
        <v>26</v>
      </c>
      <c r="H408">
        <v>24</v>
      </c>
      <c r="I408">
        <v>15.5</v>
      </c>
      <c r="J408">
        <v>4.0999999999999996</v>
      </c>
      <c r="K408">
        <v>5</v>
      </c>
      <c r="L408" t="str">
        <f>IF(tblTickets[[#This Row],[SLA Target (hrs)]]&gt;=tblTickets[[#This Row],[Actual Resolution Time (hrs)]],"Yes","No")</f>
        <v>Yes</v>
      </c>
      <c r="M408">
        <f>(tblTickets[[#This Row],[Resolved Date]]-tblTickets[[#This Row],[Created Date]])*24</f>
        <v>15.500000000232831</v>
      </c>
      <c r="N408" t="str">
        <f>IF(tblTickets[[#This Row],[Customer Satisfaction]]&gt;=4,"Satisfied",IF(tblTickets[[#This Row],[Customer Satisfaction]]=3,"Neutral","Dissatisfied"))</f>
        <v>Satisfied</v>
      </c>
    </row>
    <row r="409" spans="1:14" x14ac:dyDescent="0.35">
      <c r="A409" t="s">
        <v>272</v>
      </c>
      <c r="B409" s="3">
        <v>45707</v>
      </c>
      <c r="C409" s="3">
        <v>45707.664166666669</v>
      </c>
      <c r="D409" t="s">
        <v>12</v>
      </c>
      <c r="E409" t="s">
        <v>17</v>
      </c>
      <c r="F409" t="s">
        <v>20</v>
      </c>
      <c r="G409" t="s">
        <v>21</v>
      </c>
      <c r="H409">
        <v>24</v>
      </c>
      <c r="I409">
        <v>15.94</v>
      </c>
      <c r="J409">
        <v>1.72</v>
      </c>
      <c r="K409">
        <v>5</v>
      </c>
      <c r="L409" t="str">
        <f>IF(tblTickets[[#This Row],[SLA Target (hrs)]]&gt;=tblTickets[[#This Row],[Actual Resolution Time (hrs)]],"Yes","No")</f>
        <v>Yes</v>
      </c>
      <c r="M409">
        <f>(tblTickets[[#This Row],[Resolved Date]]-tblTickets[[#This Row],[Created Date]])*24</f>
        <v>15.940000000060536</v>
      </c>
      <c r="N409" t="str">
        <f>IF(tblTickets[[#This Row],[Customer Satisfaction]]&gt;=4,"Satisfied",IF(tblTickets[[#This Row],[Customer Satisfaction]]=3,"Neutral","Dissatisfied"))</f>
        <v>Satisfied</v>
      </c>
    </row>
    <row r="410" spans="1:14" x14ac:dyDescent="0.35">
      <c r="A410" t="s">
        <v>449</v>
      </c>
      <c r="B410" s="3">
        <v>45732</v>
      </c>
      <c r="C410" s="3">
        <v>45732.72</v>
      </c>
      <c r="D410" t="s">
        <v>23</v>
      </c>
      <c r="E410" t="s">
        <v>17</v>
      </c>
      <c r="F410" t="s">
        <v>14</v>
      </c>
      <c r="G410" t="s">
        <v>26</v>
      </c>
      <c r="H410">
        <v>24</v>
      </c>
      <c r="I410">
        <v>17.28</v>
      </c>
      <c r="J410">
        <v>2.0699999999999998</v>
      </c>
      <c r="K410">
        <v>5</v>
      </c>
      <c r="L410" t="str">
        <f>IF(tblTickets[[#This Row],[SLA Target (hrs)]]&gt;=tblTickets[[#This Row],[Actual Resolution Time (hrs)]],"Yes","No")</f>
        <v>Yes</v>
      </c>
      <c r="M410">
        <f>(tblTickets[[#This Row],[Resolved Date]]-tblTickets[[#This Row],[Created Date]])*24</f>
        <v>17.28000000002794</v>
      </c>
      <c r="N410" t="str">
        <f>IF(tblTickets[[#This Row],[Customer Satisfaction]]&gt;=4,"Satisfied",IF(tblTickets[[#This Row],[Customer Satisfaction]]=3,"Neutral","Dissatisfied"))</f>
        <v>Satisfied</v>
      </c>
    </row>
    <row r="411" spans="1:14" x14ac:dyDescent="0.35">
      <c r="A411" t="s">
        <v>74</v>
      </c>
      <c r="B411" s="3">
        <v>45728</v>
      </c>
      <c r="C411" s="3">
        <v>45728.76666666667</v>
      </c>
      <c r="D411" t="s">
        <v>12</v>
      </c>
      <c r="E411" t="s">
        <v>13</v>
      </c>
      <c r="F411" t="s">
        <v>14</v>
      </c>
      <c r="G411" t="s">
        <v>21</v>
      </c>
      <c r="H411">
        <v>24</v>
      </c>
      <c r="I411">
        <v>18.399999999999999</v>
      </c>
      <c r="J411">
        <v>0.9</v>
      </c>
      <c r="K411">
        <v>5</v>
      </c>
      <c r="L411" t="str">
        <f>IF(tblTickets[[#This Row],[SLA Target (hrs)]]&gt;=tblTickets[[#This Row],[Actual Resolution Time (hrs)]],"Yes","No")</f>
        <v>Yes</v>
      </c>
      <c r="M411">
        <f>(tblTickets[[#This Row],[Resolved Date]]-tblTickets[[#This Row],[Created Date]])*24</f>
        <v>18.400000000081491</v>
      </c>
      <c r="N411" t="str">
        <f>IF(tblTickets[[#This Row],[Customer Satisfaction]]&gt;=4,"Satisfied",IF(tblTickets[[#This Row],[Customer Satisfaction]]=3,"Neutral","Dissatisfied"))</f>
        <v>Satisfied</v>
      </c>
    </row>
    <row r="412" spans="1:14" x14ac:dyDescent="0.35">
      <c r="A412" t="s">
        <v>283</v>
      </c>
      <c r="B412" s="3">
        <v>45686</v>
      </c>
      <c r="C412" s="3">
        <v>45686.772916666669</v>
      </c>
      <c r="D412" t="s">
        <v>23</v>
      </c>
      <c r="E412" t="s">
        <v>13</v>
      </c>
      <c r="F412" t="s">
        <v>25</v>
      </c>
      <c r="G412" t="s">
        <v>21</v>
      </c>
      <c r="H412">
        <v>24</v>
      </c>
      <c r="I412">
        <v>18.55</v>
      </c>
      <c r="J412">
        <v>2.15</v>
      </c>
      <c r="K412">
        <v>5</v>
      </c>
      <c r="L412" t="str">
        <f>IF(tblTickets[[#This Row],[SLA Target (hrs)]]&gt;=tblTickets[[#This Row],[Actual Resolution Time (hrs)]],"Yes","No")</f>
        <v>Yes</v>
      </c>
      <c r="M412">
        <f>(tblTickets[[#This Row],[Resolved Date]]-tblTickets[[#This Row],[Created Date]])*24</f>
        <v>18.550000000046566</v>
      </c>
      <c r="N412" t="str">
        <f>IF(tblTickets[[#This Row],[Customer Satisfaction]]&gt;=4,"Satisfied",IF(tblTickets[[#This Row],[Customer Satisfaction]]=3,"Neutral","Dissatisfied"))</f>
        <v>Satisfied</v>
      </c>
    </row>
    <row r="413" spans="1:14" x14ac:dyDescent="0.35">
      <c r="A413" t="s">
        <v>510</v>
      </c>
      <c r="B413" s="3">
        <v>45739</v>
      </c>
      <c r="C413" s="3">
        <v>45739.815000000002</v>
      </c>
      <c r="D413" t="s">
        <v>12</v>
      </c>
      <c r="E413" t="s">
        <v>40</v>
      </c>
      <c r="F413" t="s">
        <v>41</v>
      </c>
      <c r="G413" t="s">
        <v>15</v>
      </c>
      <c r="H413">
        <v>24</v>
      </c>
      <c r="I413">
        <v>19.559999999999999</v>
      </c>
      <c r="J413">
        <v>0.95</v>
      </c>
      <c r="K413">
        <v>5</v>
      </c>
      <c r="L413" t="str">
        <f>IF(tblTickets[[#This Row],[SLA Target (hrs)]]&gt;=tblTickets[[#This Row],[Actual Resolution Time (hrs)]],"Yes","No")</f>
        <v>Yes</v>
      </c>
      <c r="M413">
        <f>(tblTickets[[#This Row],[Resolved Date]]-tblTickets[[#This Row],[Created Date]])*24</f>
        <v>19.560000000055879</v>
      </c>
      <c r="N413" t="str">
        <f>IF(tblTickets[[#This Row],[Customer Satisfaction]]&gt;=4,"Satisfied",IF(tblTickets[[#This Row],[Customer Satisfaction]]=3,"Neutral","Dissatisfied"))</f>
        <v>Satisfied</v>
      </c>
    </row>
    <row r="414" spans="1:14" x14ac:dyDescent="0.35">
      <c r="A414" t="s">
        <v>491</v>
      </c>
      <c r="B414" s="3">
        <v>45674</v>
      </c>
      <c r="C414" s="3">
        <v>45674.826666666668</v>
      </c>
      <c r="D414" t="s">
        <v>12</v>
      </c>
      <c r="E414" t="s">
        <v>40</v>
      </c>
      <c r="F414" t="s">
        <v>20</v>
      </c>
      <c r="G414" t="s">
        <v>15</v>
      </c>
      <c r="H414">
        <v>24</v>
      </c>
      <c r="I414">
        <v>19.84</v>
      </c>
      <c r="J414">
        <v>3.88</v>
      </c>
      <c r="K414">
        <v>5</v>
      </c>
      <c r="L414" t="str">
        <f>IF(tblTickets[[#This Row],[SLA Target (hrs)]]&gt;=tblTickets[[#This Row],[Actual Resolution Time (hrs)]],"Yes","No")</f>
        <v>Yes</v>
      </c>
      <c r="M414">
        <f>(tblTickets[[#This Row],[Resolved Date]]-tblTickets[[#This Row],[Created Date]])*24</f>
        <v>19.840000000025611</v>
      </c>
      <c r="N414" t="str">
        <f>IF(tblTickets[[#This Row],[Customer Satisfaction]]&gt;=4,"Satisfied",IF(tblTickets[[#This Row],[Customer Satisfaction]]=3,"Neutral","Dissatisfied"))</f>
        <v>Satisfied</v>
      </c>
    </row>
    <row r="415" spans="1:14" x14ac:dyDescent="0.35">
      <c r="A415" t="s">
        <v>340</v>
      </c>
      <c r="B415" s="3">
        <v>45725</v>
      </c>
      <c r="C415" s="3">
        <v>45725.987083333333</v>
      </c>
      <c r="D415" t="s">
        <v>30</v>
      </c>
      <c r="E415" t="s">
        <v>40</v>
      </c>
      <c r="F415" t="s">
        <v>45</v>
      </c>
      <c r="G415" t="s">
        <v>26</v>
      </c>
      <c r="H415">
        <v>24</v>
      </c>
      <c r="I415">
        <v>23.69</v>
      </c>
      <c r="J415">
        <v>5.34</v>
      </c>
      <c r="K415">
        <v>5</v>
      </c>
      <c r="L415" t="str">
        <f>IF(tblTickets[[#This Row],[SLA Target (hrs)]]&gt;=tblTickets[[#This Row],[Actual Resolution Time (hrs)]],"Yes","No")</f>
        <v>Yes</v>
      </c>
      <c r="M415">
        <f>(tblTickets[[#This Row],[Resolved Date]]-tblTickets[[#This Row],[Created Date]])*24</f>
        <v>23.690000000002328</v>
      </c>
      <c r="N415" t="str">
        <f>IF(tblTickets[[#This Row],[Customer Satisfaction]]&gt;=4,"Satisfied",IF(tblTickets[[#This Row],[Customer Satisfaction]]=3,"Neutral","Dissatisfied"))</f>
        <v>Satisfied</v>
      </c>
    </row>
    <row r="416" spans="1:14" x14ac:dyDescent="0.35">
      <c r="A416" t="s">
        <v>389</v>
      </c>
      <c r="B416" s="3">
        <v>45735</v>
      </c>
      <c r="C416" s="3">
        <v>45736.46875</v>
      </c>
      <c r="D416" t="s">
        <v>34</v>
      </c>
      <c r="E416" t="s">
        <v>13</v>
      </c>
      <c r="F416" t="s">
        <v>45</v>
      </c>
      <c r="G416" t="s">
        <v>26</v>
      </c>
      <c r="H416">
        <v>4</v>
      </c>
      <c r="I416">
        <v>35.25</v>
      </c>
      <c r="J416">
        <v>6.85</v>
      </c>
      <c r="K416">
        <v>5</v>
      </c>
      <c r="L416" t="str">
        <f>IF(tblTickets[[#This Row],[SLA Target (hrs)]]&gt;=tblTickets[[#This Row],[Actual Resolution Time (hrs)]],"Yes","No")</f>
        <v>No</v>
      </c>
      <c r="M416">
        <f>(tblTickets[[#This Row],[Resolved Date]]-tblTickets[[#This Row],[Created Date]])*24</f>
        <v>35.25</v>
      </c>
      <c r="N416" t="str">
        <f>IF(tblTickets[[#This Row],[Customer Satisfaction]]&gt;=4,"Satisfied",IF(tblTickets[[#This Row],[Customer Satisfaction]]=3,"Neutral","Dissatisfied"))</f>
        <v>Satisfied</v>
      </c>
    </row>
    <row r="417" spans="1:14" x14ac:dyDescent="0.35">
      <c r="A417" t="s">
        <v>165</v>
      </c>
      <c r="B417" s="3">
        <v>45688</v>
      </c>
      <c r="C417" s="3">
        <v>45689.480833333328</v>
      </c>
      <c r="D417" t="s">
        <v>23</v>
      </c>
      <c r="E417" t="s">
        <v>17</v>
      </c>
      <c r="F417" t="s">
        <v>20</v>
      </c>
      <c r="G417" t="s">
        <v>26</v>
      </c>
      <c r="H417">
        <v>4</v>
      </c>
      <c r="I417">
        <v>35.54</v>
      </c>
      <c r="J417">
        <v>5.03</v>
      </c>
      <c r="K417">
        <v>5</v>
      </c>
      <c r="L417" t="str">
        <f>IF(tblTickets[[#This Row],[SLA Target (hrs)]]&gt;=tblTickets[[#This Row],[Actual Resolution Time (hrs)]],"Yes","No")</f>
        <v>No</v>
      </c>
      <c r="M417">
        <f>(tblTickets[[#This Row],[Resolved Date]]-tblTickets[[#This Row],[Created Date]])*24</f>
        <v>35.53999999986263</v>
      </c>
      <c r="N417" t="str">
        <f>IF(tblTickets[[#This Row],[Customer Satisfaction]]&gt;=4,"Satisfied",IF(tblTickets[[#This Row],[Customer Satisfaction]]=3,"Neutral","Dissatisfied"))</f>
        <v>Satisfied</v>
      </c>
    </row>
    <row r="418" spans="1:14" x14ac:dyDescent="0.35">
      <c r="A418" t="s">
        <v>185</v>
      </c>
      <c r="B418" s="3">
        <v>45660</v>
      </c>
      <c r="C418" s="3">
        <v>45661.495833333327</v>
      </c>
      <c r="D418" t="s">
        <v>34</v>
      </c>
      <c r="E418" t="s">
        <v>40</v>
      </c>
      <c r="F418" t="s">
        <v>45</v>
      </c>
      <c r="G418" t="s">
        <v>15</v>
      </c>
      <c r="H418">
        <v>8</v>
      </c>
      <c r="I418">
        <v>35.9</v>
      </c>
      <c r="J418">
        <v>7.41</v>
      </c>
      <c r="K418">
        <v>5</v>
      </c>
      <c r="L418" t="str">
        <f>IF(tblTickets[[#This Row],[SLA Target (hrs)]]&gt;=tblTickets[[#This Row],[Actual Resolution Time (hrs)]],"Yes","No")</f>
        <v>No</v>
      </c>
      <c r="M418">
        <f>(tblTickets[[#This Row],[Resolved Date]]-tblTickets[[#This Row],[Created Date]])*24</f>
        <v>35.89999999984866</v>
      </c>
      <c r="N418" t="str">
        <f>IF(tblTickets[[#This Row],[Customer Satisfaction]]&gt;=4,"Satisfied",IF(tblTickets[[#This Row],[Customer Satisfaction]]=3,"Neutral","Dissatisfied"))</f>
        <v>Satisfied</v>
      </c>
    </row>
    <row r="419" spans="1:14" x14ac:dyDescent="0.35">
      <c r="A419" t="s">
        <v>384</v>
      </c>
      <c r="B419" s="3">
        <v>45722</v>
      </c>
      <c r="C419" s="3">
        <v>45723.5</v>
      </c>
      <c r="D419" t="s">
        <v>34</v>
      </c>
      <c r="E419" t="s">
        <v>40</v>
      </c>
      <c r="F419" t="s">
        <v>20</v>
      </c>
      <c r="G419" t="s">
        <v>21</v>
      </c>
      <c r="H419">
        <v>4</v>
      </c>
      <c r="I419">
        <v>36</v>
      </c>
      <c r="J419">
        <v>3.47</v>
      </c>
      <c r="K419">
        <v>5</v>
      </c>
      <c r="L419" t="str">
        <f>IF(tblTickets[[#This Row],[SLA Target (hrs)]]&gt;=tblTickets[[#This Row],[Actual Resolution Time (hrs)]],"Yes","No")</f>
        <v>No</v>
      </c>
      <c r="M419">
        <f>(tblTickets[[#This Row],[Resolved Date]]-tblTickets[[#This Row],[Created Date]])*24</f>
        <v>36</v>
      </c>
      <c r="N419" t="str">
        <f>IF(tblTickets[[#This Row],[Customer Satisfaction]]&gt;=4,"Satisfied",IF(tblTickets[[#This Row],[Customer Satisfaction]]=3,"Neutral","Dissatisfied"))</f>
        <v>Satisfied</v>
      </c>
    </row>
    <row r="420" spans="1:14" x14ac:dyDescent="0.35">
      <c r="A420" t="s">
        <v>436</v>
      </c>
      <c r="B420" s="3">
        <v>45668</v>
      </c>
      <c r="C420" s="3">
        <v>45669.547083333331</v>
      </c>
      <c r="D420" t="s">
        <v>23</v>
      </c>
      <c r="E420" t="s">
        <v>40</v>
      </c>
      <c r="F420" t="s">
        <v>41</v>
      </c>
      <c r="G420" t="s">
        <v>21</v>
      </c>
      <c r="H420">
        <v>24</v>
      </c>
      <c r="I420">
        <v>37.130000000000003</v>
      </c>
      <c r="J420">
        <v>6.92</v>
      </c>
      <c r="K420">
        <v>5</v>
      </c>
      <c r="L420" t="str">
        <f>IF(tblTickets[[#This Row],[SLA Target (hrs)]]&gt;=tblTickets[[#This Row],[Actual Resolution Time (hrs)]],"Yes","No")</f>
        <v>No</v>
      </c>
      <c r="M420">
        <f>(tblTickets[[#This Row],[Resolved Date]]-tblTickets[[#This Row],[Created Date]])*24</f>
        <v>37.129999999946449</v>
      </c>
      <c r="N420" t="str">
        <f>IF(tblTickets[[#This Row],[Customer Satisfaction]]&gt;=4,"Satisfied",IF(tblTickets[[#This Row],[Customer Satisfaction]]=3,"Neutral","Dissatisfied"))</f>
        <v>Satisfied</v>
      </c>
    </row>
    <row r="421" spans="1:14" x14ac:dyDescent="0.35">
      <c r="A421" t="s">
        <v>147</v>
      </c>
      <c r="B421" s="3">
        <v>45719</v>
      </c>
      <c r="C421" s="3">
        <v>45720.558749999997</v>
      </c>
      <c r="D421" t="s">
        <v>12</v>
      </c>
      <c r="E421" t="s">
        <v>17</v>
      </c>
      <c r="F421" t="s">
        <v>25</v>
      </c>
      <c r="G421" t="s">
        <v>21</v>
      </c>
      <c r="H421">
        <v>4</v>
      </c>
      <c r="I421">
        <v>37.409999999999997</v>
      </c>
      <c r="J421">
        <v>7.17</v>
      </c>
      <c r="K421">
        <v>5</v>
      </c>
      <c r="L421" t="str">
        <f>IF(tblTickets[[#This Row],[SLA Target (hrs)]]&gt;=tblTickets[[#This Row],[Actual Resolution Time (hrs)]],"Yes","No")</f>
        <v>No</v>
      </c>
      <c r="M421">
        <f>(tblTickets[[#This Row],[Resolved Date]]-tblTickets[[#This Row],[Created Date]])*24</f>
        <v>37.409999999916181</v>
      </c>
      <c r="N421" t="str">
        <f>IF(tblTickets[[#This Row],[Customer Satisfaction]]&gt;=4,"Satisfied",IF(tblTickets[[#This Row],[Customer Satisfaction]]=3,"Neutral","Dissatisfied"))</f>
        <v>Satisfied</v>
      </c>
    </row>
    <row r="422" spans="1:14" x14ac:dyDescent="0.35">
      <c r="A422" t="s">
        <v>432</v>
      </c>
      <c r="B422" s="3">
        <v>45707</v>
      </c>
      <c r="C422" s="3">
        <v>45708.561249999999</v>
      </c>
      <c r="D422" t="s">
        <v>30</v>
      </c>
      <c r="E422" t="s">
        <v>40</v>
      </c>
      <c r="F422" t="s">
        <v>41</v>
      </c>
      <c r="G422" t="s">
        <v>15</v>
      </c>
      <c r="H422">
        <v>24</v>
      </c>
      <c r="I422">
        <v>37.47</v>
      </c>
      <c r="J422">
        <v>4.21</v>
      </c>
      <c r="K422">
        <v>5</v>
      </c>
      <c r="L422" t="str">
        <f>IF(tblTickets[[#This Row],[SLA Target (hrs)]]&gt;=tblTickets[[#This Row],[Actual Resolution Time (hrs)]],"Yes","No")</f>
        <v>No</v>
      </c>
      <c r="M422">
        <f>(tblTickets[[#This Row],[Resolved Date]]-tblTickets[[#This Row],[Created Date]])*24</f>
        <v>37.46999999997206</v>
      </c>
      <c r="N422" t="str">
        <f>IF(tblTickets[[#This Row],[Customer Satisfaction]]&gt;=4,"Satisfied",IF(tblTickets[[#This Row],[Customer Satisfaction]]=3,"Neutral","Dissatisfied"))</f>
        <v>Satisfied</v>
      </c>
    </row>
    <row r="423" spans="1:14" x14ac:dyDescent="0.35">
      <c r="A423" t="s">
        <v>487</v>
      </c>
      <c r="B423" s="3">
        <v>45677</v>
      </c>
      <c r="C423" s="3">
        <v>45678.567499999997</v>
      </c>
      <c r="D423" t="s">
        <v>34</v>
      </c>
      <c r="E423" t="s">
        <v>19</v>
      </c>
      <c r="F423" t="s">
        <v>20</v>
      </c>
      <c r="G423" t="s">
        <v>21</v>
      </c>
      <c r="H423">
        <v>8</v>
      </c>
      <c r="I423">
        <v>37.619999999999997</v>
      </c>
      <c r="J423">
        <v>7.21</v>
      </c>
      <c r="K423">
        <v>5</v>
      </c>
      <c r="L423" t="str">
        <f>IF(tblTickets[[#This Row],[SLA Target (hrs)]]&gt;=tblTickets[[#This Row],[Actual Resolution Time (hrs)]],"Yes","No")</f>
        <v>No</v>
      </c>
      <c r="M423">
        <f>(tblTickets[[#This Row],[Resolved Date]]-tblTickets[[#This Row],[Created Date]])*24</f>
        <v>37.619999999937136</v>
      </c>
      <c r="N423" t="str">
        <f>IF(tblTickets[[#This Row],[Customer Satisfaction]]&gt;=4,"Satisfied",IF(tblTickets[[#This Row],[Customer Satisfaction]]=3,"Neutral","Dissatisfied"))</f>
        <v>Satisfied</v>
      </c>
    </row>
    <row r="424" spans="1:14" x14ac:dyDescent="0.35">
      <c r="A424" t="s">
        <v>351</v>
      </c>
      <c r="B424" s="3">
        <v>45745</v>
      </c>
      <c r="C424" s="3">
        <v>45746.57916666667</v>
      </c>
      <c r="D424" t="s">
        <v>34</v>
      </c>
      <c r="E424" t="s">
        <v>40</v>
      </c>
      <c r="F424" t="s">
        <v>45</v>
      </c>
      <c r="G424" t="s">
        <v>26</v>
      </c>
      <c r="H424">
        <v>24</v>
      </c>
      <c r="I424">
        <v>37.9</v>
      </c>
      <c r="J424">
        <v>2.89</v>
      </c>
      <c r="K424">
        <v>5</v>
      </c>
      <c r="L424" t="str">
        <f>IF(tblTickets[[#This Row],[SLA Target (hrs)]]&gt;=tblTickets[[#This Row],[Actual Resolution Time (hrs)]],"Yes","No")</f>
        <v>No</v>
      </c>
      <c r="M424">
        <f>(tblTickets[[#This Row],[Resolved Date]]-tblTickets[[#This Row],[Created Date]])*24</f>
        <v>37.900000000081491</v>
      </c>
      <c r="N424" t="str">
        <f>IF(tblTickets[[#This Row],[Customer Satisfaction]]&gt;=4,"Satisfied",IF(tblTickets[[#This Row],[Customer Satisfaction]]=3,"Neutral","Dissatisfied"))</f>
        <v>Satisfied</v>
      </c>
    </row>
    <row r="425" spans="1:14" x14ac:dyDescent="0.35">
      <c r="A425" t="s">
        <v>426</v>
      </c>
      <c r="B425" s="3">
        <v>45725</v>
      </c>
      <c r="C425" s="3">
        <v>45726.612083333333</v>
      </c>
      <c r="D425" t="s">
        <v>30</v>
      </c>
      <c r="E425" t="s">
        <v>13</v>
      </c>
      <c r="F425" t="s">
        <v>41</v>
      </c>
      <c r="G425" t="s">
        <v>15</v>
      </c>
      <c r="H425">
        <v>4</v>
      </c>
      <c r="I425">
        <v>38.69</v>
      </c>
      <c r="J425">
        <v>1.1499999999999999</v>
      </c>
      <c r="K425">
        <v>5</v>
      </c>
      <c r="L425" t="str">
        <f>IF(tblTickets[[#This Row],[SLA Target (hrs)]]&gt;=tblTickets[[#This Row],[Actual Resolution Time (hrs)]],"Yes","No")</f>
        <v>No</v>
      </c>
      <c r="M425">
        <f>(tblTickets[[#This Row],[Resolved Date]]-tblTickets[[#This Row],[Created Date]])*24</f>
        <v>38.690000000002328</v>
      </c>
      <c r="N425" t="str">
        <f>IF(tblTickets[[#This Row],[Customer Satisfaction]]&gt;=4,"Satisfied",IF(tblTickets[[#This Row],[Customer Satisfaction]]=3,"Neutral","Dissatisfied"))</f>
        <v>Satisfied</v>
      </c>
    </row>
    <row r="426" spans="1:14" x14ac:dyDescent="0.35">
      <c r="A426" t="s">
        <v>335</v>
      </c>
      <c r="B426" s="3">
        <v>45663</v>
      </c>
      <c r="C426" s="3">
        <v>45664.616249999999</v>
      </c>
      <c r="D426" t="s">
        <v>23</v>
      </c>
      <c r="E426" t="s">
        <v>17</v>
      </c>
      <c r="F426" t="s">
        <v>20</v>
      </c>
      <c r="G426" t="s">
        <v>15</v>
      </c>
      <c r="H426">
        <v>8</v>
      </c>
      <c r="I426">
        <v>38.79</v>
      </c>
      <c r="J426">
        <v>0.51</v>
      </c>
      <c r="K426">
        <v>5</v>
      </c>
      <c r="L426" t="str">
        <f>IF(tblTickets[[#This Row],[SLA Target (hrs)]]&gt;=tblTickets[[#This Row],[Actual Resolution Time (hrs)]],"Yes","No")</f>
        <v>No</v>
      </c>
      <c r="M426">
        <f>(tblTickets[[#This Row],[Resolved Date]]-tblTickets[[#This Row],[Created Date]])*24</f>
        <v>38.789999999979045</v>
      </c>
      <c r="N426" t="str">
        <f>IF(tblTickets[[#This Row],[Customer Satisfaction]]&gt;=4,"Satisfied",IF(tblTickets[[#This Row],[Customer Satisfaction]]=3,"Neutral","Dissatisfied"))</f>
        <v>Satisfied</v>
      </c>
    </row>
    <row r="427" spans="1:14" x14ac:dyDescent="0.35">
      <c r="A427" t="s">
        <v>456</v>
      </c>
      <c r="B427" s="3">
        <v>45694</v>
      </c>
      <c r="C427" s="3">
        <v>45695.690416666657</v>
      </c>
      <c r="D427" t="s">
        <v>12</v>
      </c>
      <c r="E427" t="s">
        <v>19</v>
      </c>
      <c r="F427" t="s">
        <v>25</v>
      </c>
      <c r="G427" t="s">
        <v>21</v>
      </c>
      <c r="H427">
        <v>8</v>
      </c>
      <c r="I427">
        <v>40.57</v>
      </c>
      <c r="J427">
        <v>5.41</v>
      </c>
      <c r="K427">
        <v>5</v>
      </c>
      <c r="L427" t="str">
        <f>IF(tblTickets[[#This Row],[SLA Target (hrs)]]&gt;=tblTickets[[#This Row],[Actual Resolution Time (hrs)]],"Yes","No")</f>
        <v>No</v>
      </c>
      <c r="M427">
        <f>(tblTickets[[#This Row],[Resolved Date]]-tblTickets[[#This Row],[Created Date]])*24</f>
        <v>40.569999999774154</v>
      </c>
      <c r="N427" t="str">
        <f>IF(tblTickets[[#This Row],[Customer Satisfaction]]&gt;=4,"Satisfied",IF(tblTickets[[#This Row],[Customer Satisfaction]]=3,"Neutral","Dissatisfied"))</f>
        <v>Satisfied</v>
      </c>
    </row>
    <row r="428" spans="1:14" x14ac:dyDescent="0.35">
      <c r="A428" t="s">
        <v>525</v>
      </c>
      <c r="B428" s="3">
        <v>45707</v>
      </c>
      <c r="C428" s="3">
        <v>45708.703750000001</v>
      </c>
      <c r="D428" t="s">
        <v>23</v>
      </c>
      <c r="E428" t="s">
        <v>13</v>
      </c>
      <c r="F428" t="s">
        <v>25</v>
      </c>
      <c r="G428" t="s">
        <v>15</v>
      </c>
      <c r="H428">
        <v>4</v>
      </c>
      <c r="I428">
        <v>40.89</v>
      </c>
      <c r="J428">
        <v>1.4</v>
      </c>
      <c r="K428">
        <v>5</v>
      </c>
      <c r="L428" t="str">
        <f>IF(tblTickets[[#This Row],[SLA Target (hrs)]]&gt;=tblTickets[[#This Row],[Actual Resolution Time (hrs)]],"Yes","No")</f>
        <v>No</v>
      </c>
      <c r="M428">
        <f>(tblTickets[[#This Row],[Resolved Date]]-tblTickets[[#This Row],[Created Date]])*24</f>
        <v>40.89000000001397</v>
      </c>
      <c r="N428" t="str">
        <f>IF(tblTickets[[#This Row],[Customer Satisfaction]]&gt;=4,"Satisfied",IF(tblTickets[[#This Row],[Customer Satisfaction]]=3,"Neutral","Dissatisfied"))</f>
        <v>Satisfied</v>
      </c>
    </row>
    <row r="429" spans="1:14" x14ac:dyDescent="0.35">
      <c r="A429" t="s">
        <v>164</v>
      </c>
      <c r="B429" s="3">
        <v>45688</v>
      </c>
      <c r="C429" s="3">
        <v>45689.731249999997</v>
      </c>
      <c r="D429" t="s">
        <v>30</v>
      </c>
      <c r="E429" t="s">
        <v>17</v>
      </c>
      <c r="F429" t="s">
        <v>25</v>
      </c>
      <c r="G429" t="s">
        <v>15</v>
      </c>
      <c r="H429">
        <v>24</v>
      </c>
      <c r="I429">
        <v>41.55</v>
      </c>
      <c r="J429">
        <v>0.95</v>
      </c>
      <c r="K429">
        <v>5</v>
      </c>
      <c r="L429" t="str">
        <f>IF(tblTickets[[#This Row],[SLA Target (hrs)]]&gt;=tblTickets[[#This Row],[Actual Resolution Time (hrs)]],"Yes","No")</f>
        <v>No</v>
      </c>
      <c r="M429">
        <f>(tblTickets[[#This Row],[Resolved Date]]-tblTickets[[#This Row],[Created Date]])*24</f>
        <v>41.549999999930151</v>
      </c>
      <c r="N429" t="str">
        <f>IF(tblTickets[[#This Row],[Customer Satisfaction]]&gt;=4,"Satisfied",IF(tblTickets[[#This Row],[Customer Satisfaction]]=3,"Neutral","Dissatisfied"))</f>
        <v>Satisfied</v>
      </c>
    </row>
    <row r="430" spans="1:14" x14ac:dyDescent="0.35">
      <c r="A430" t="s">
        <v>440</v>
      </c>
      <c r="B430" s="3">
        <v>45733</v>
      </c>
      <c r="C430" s="3">
        <v>45734.758750000001</v>
      </c>
      <c r="D430" t="s">
        <v>34</v>
      </c>
      <c r="E430" t="s">
        <v>13</v>
      </c>
      <c r="F430" t="s">
        <v>14</v>
      </c>
      <c r="G430" t="s">
        <v>21</v>
      </c>
      <c r="H430">
        <v>8</v>
      </c>
      <c r="I430">
        <v>42.21</v>
      </c>
      <c r="J430">
        <v>2.39</v>
      </c>
      <c r="K430">
        <v>5</v>
      </c>
      <c r="L430" t="str">
        <f>IF(tblTickets[[#This Row],[SLA Target (hrs)]]&gt;=tblTickets[[#This Row],[Actual Resolution Time (hrs)]],"Yes","No")</f>
        <v>No</v>
      </c>
      <c r="M430">
        <f>(tblTickets[[#This Row],[Resolved Date]]-tblTickets[[#This Row],[Created Date]])*24</f>
        <v>42.210000000020955</v>
      </c>
      <c r="N430" t="str">
        <f>IF(tblTickets[[#This Row],[Customer Satisfaction]]&gt;=4,"Satisfied",IF(tblTickets[[#This Row],[Customer Satisfaction]]=3,"Neutral","Dissatisfied"))</f>
        <v>Satisfied</v>
      </c>
    </row>
    <row r="431" spans="1:14" x14ac:dyDescent="0.35">
      <c r="A431" t="s">
        <v>496</v>
      </c>
      <c r="B431" s="3">
        <v>45710</v>
      </c>
      <c r="C431" s="3">
        <v>45711.76</v>
      </c>
      <c r="D431" t="s">
        <v>23</v>
      </c>
      <c r="E431" t="s">
        <v>13</v>
      </c>
      <c r="F431" t="s">
        <v>25</v>
      </c>
      <c r="G431" t="s">
        <v>15</v>
      </c>
      <c r="H431">
        <v>24</v>
      </c>
      <c r="I431">
        <v>42.24</v>
      </c>
      <c r="J431">
        <v>2.96</v>
      </c>
      <c r="K431">
        <v>5</v>
      </c>
      <c r="L431" t="str">
        <f>IF(tblTickets[[#This Row],[SLA Target (hrs)]]&gt;=tblTickets[[#This Row],[Actual Resolution Time (hrs)]],"Yes","No")</f>
        <v>No</v>
      </c>
      <c r="M431">
        <f>(tblTickets[[#This Row],[Resolved Date]]-tblTickets[[#This Row],[Created Date]])*24</f>
        <v>42.240000000048894</v>
      </c>
      <c r="N431" t="str">
        <f>IF(tblTickets[[#This Row],[Customer Satisfaction]]&gt;=4,"Satisfied",IF(tblTickets[[#This Row],[Customer Satisfaction]]=3,"Neutral","Dissatisfied"))</f>
        <v>Satisfied</v>
      </c>
    </row>
    <row r="432" spans="1:14" x14ac:dyDescent="0.35">
      <c r="A432" t="s">
        <v>54</v>
      </c>
      <c r="B432" s="3">
        <v>45693</v>
      </c>
      <c r="C432" s="3">
        <v>45694.767916666657</v>
      </c>
      <c r="D432" t="s">
        <v>23</v>
      </c>
      <c r="E432" t="s">
        <v>40</v>
      </c>
      <c r="F432" t="s">
        <v>41</v>
      </c>
      <c r="G432" t="s">
        <v>26</v>
      </c>
      <c r="H432">
        <v>8</v>
      </c>
      <c r="I432">
        <v>42.43</v>
      </c>
      <c r="J432">
        <v>4.66</v>
      </c>
      <c r="K432">
        <v>5</v>
      </c>
      <c r="L432" t="str">
        <f>IF(tblTickets[[#This Row],[SLA Target (hrs)]]&gt;=tblTickets[[#This Row],[Actual Resolution Time (hrs)]],"Yes","No")</f>
        <v>No</v>
      </c>
      <c r="M432">
        <f>(tblTickets[[#This Row],[Resolved Date]]-tblTickets[[#This Row],[Created Date]])*24</f>
        <v>42.429999999760184</v>
      </c>
      <c r="N432" t="str">
        <f>IF(tblTickets[[#This Row],[Customer Satisfaction]]&gt;=4,"Satisfied",IF(tblTickets[[#This Row],[Customer Satisfaction]]=3,"Neutral","Dissatisfied"))</f>
        <v>Satisfied</v>
      </c>
    </row>
    <row r="433" spans="1:14" x14ac:dyDescent="0.35">
      <c r="A433" t="s">
        <v>500</v>
      </c>
      <c r="B433" s="3">
        <v>45739</v>
      </c>
      <c r="C433" s="3">
        <v>45740.786666666667</v>
      </c>
      <c r="D433" t="s">
        <v>34</v>
      </c>
      <c r="E433" t="s">
        <v>40</v>
      </c>
      <c r="F433" t="s">
        <v>20</v>
      </c>
      <c r="G433" t="s">
        <v>21</v>
      </c>
      <c r="H433">
        <v>8</v>
      </c>
      <c r="I433">
        <v>42.88</v>
      </c>
      <c r="J433">
        <v>6.35</v>
      </c>
      <c r="K433">
        <v>5</v>
      </c>
      <c r="L433" t="str">
        <f>IF(tblTickets[[#This Row],[SLA Target (hrs)]]&gt;=tblTickets[[#This Row],[Actual Resolution Time (hrs)]],"Yes","No")</f>
        <v>No</v>
      </c>
      <c r="M433">
        <f>(tblTickets[[#This Row],[Resolved Date]]-tblTickets[[#This Row],[Created Date]])*24</f>
        <v>42.880000000004657</v>
      </c>
      <c r="N433" t="str">
        <f>IF(tblTickets[[#This Row],[Customer Satisfaction]]&gt;=4,"Satisfied",IF(tblTickets[[#This Row],[Customer Satisfaction]]=3,"Neutral","Dissatisfied"))</f>
        <v>Satisfied</v>
      </c>
    </row>
    <row r="434" spans="1:14" x14ac:dyDescent="0.35">
      <c r="A434" t="s">
        <v>382</v>
      </c>
      <c r="B434" s="3">
        <v>45713</v>
      </c>
      <c r="C434" s="3">
        <v>45714.79583333333</v>
      </c>
      <c r="D434" t="s">
        <v>30</v>
      </c>
      <c r="E434" t="s">
        <v>13</v>
      </c>
      <c r="F434" t="s">
        <v>41</v>
      </c>
      <c r="G434" t="s">
        <v>21</v>
      </c>
      <c r="H434">
        <v>24</v>
      </c>
      <c r="I434">
        <v>43.1</v>
      </c>
      <c r="J434">
        <v>2.84</v>
      </c>
      <c r="K434">
        <v>5</v>
      </c>
      <c r="L434" t="str">
        <f>IF(tblTickets[[#This Row],[SLA Target (hrs)]]&gt;=tblTickets[[#This Row],[Actual Resolution Time (hrs)]],"Yes","No")</f>
        <v>No</v>
      </c>
      <c r="M434">
        <f>(tblTickets[[#This Row],[Resolved Date]]-tblTickets[[#This Row],[Created Date]])*24</f>
        <v>43.099999999918509</v>
      </c>
      <c r="N434" t="str">
        <f>IF(tblTickets[[#This Row],[Customer Satisfaction]]&gt;=4,"Satisfied",IF(tblTickets[[#This Row],[Customer Satisfaction]]=3,"Neutral","Dissatisfied"))</f>
        <v>Satisfied</v>
      </c>
    </row>
    <row r="435" spans="1:14" x14ac:dyDescent="0.35">
      <c r="A435" t="s">
        <v>477</v>
      </c>
      <c r="B435" s="3">
        <v>45662</v>
      </c>
      <c r="C435" s="3">
        <v>45663.798333333332</v>
      </c>
      <c r="D435" t="s">
        <v>30</v>
      </c>
      <c r="E435" t="s">
        <v>13</v>
      </c>
      <c r="F435" t="s">
        <v>41</v>
      </c>
      <c r="G435" t="s">
        <v>26</v>
      </c>
      <c r="H435">
        <v>8</v>
      </c>
      <c r="I435">
        <v>43.16</v>
      </c>
      <c r="J435">
        <v>4.75</v>
      </c>
      <c r="K435">
        <v>5</v>
      </c>
      <c r="L435" t="str">
        <f>IF(tblTickets[[#This Row],[SLA Target (hrs)]]&gt;=tblTickets[[#This Row],[Actual Resolution Time (hrs)]],"Yes","No")</f>
        <v>No</v>
      </c>
      <c r="M435">
        <f>(tblTickets[[#This Row],[Resolved Date]]-tblTickets[[#This Row],[Created Date]])*24</f>
        <v>43.159999999974389</v>
      </c>
      <c r="N435" t="str">
        <f>IF(tblTickets[[#This Row],[Customer Satisfaction]]&gt;=4,"Satisfied",IF(tblTickets[[#This Row],[Customer Satisfaction]]=3,"Neutral","Dissatisfied"))</f>
        <v>Satisfied</v>
      </c>
    </row>
    <row r="436" spans="1:14" x14ac:dyDescent="0.35">
      <c r="A436" t="s">
        <v>189</v>
      </c>
      <c r="B436" s="3">
        <v>45720</v>
      </c>
      <c r="C436" s="3">
        <v>45721.807916666658</v>
      </c>
      <c r="D436" t="s">
        <v>30</v>
      </c>
      <c r="E436" t="s">
        <v>40</v>
      </c>
      <c r="F436" t="s">
        <v>45</v>
      </c>
      <c r="G436" t="s">
        <v>26</v>
      </c>
      <c r="H436">
        <v>4</v>
      </c>
      <c r="I436">
        <v>43.39</v>
      </c>
      <c r="J436">
        <v>4.99</v>
      </c>
      <c r="K436">
        <v>5</v>
      </c>
      <c r="L436" t="str">
        <f>IF(tblTickets[[#This Row],[SLA Target (hrs)]]&gt;=tblTickets[[#This Row],[Actual Resolution Time (hrs)]],"Yes","No")</f>
        <v>No</v>
      </c>
      <c r="M436">
        <f>(tblTickets[[#This Row],[Resolved Date]]-tblTickets[[#This Row],[Created Date]])*24</f>
        <v>43.389999999781139</v>
      </c>
      <c r="N436" t="str">
        <f>IF(tblTickets[[#This Row],[Customer Satisfaction]]&gt;=4,"Satisfied",IF(tblTickets[[#This Row],[Customer Satisfaction]]=3,"Neutral","Dissatisfied"))</f>
        <v>Satisfied</v>
      </c>
    </row>
    <row r="437" spans="1:14" x14ac:dyDescent="0.35">
      <c r="A437" t="s">
        <v>459</v>
      </c>
      <c r="B437" s="3">
        <v>45722</v>
      </c>
      <c r="C437" s="3">
        <v>45723.817083333342</v>
      </c>
      <c r="D437" t="s">
        <v>23</v>
      </c>
      <c r="E437" t="s">
        <v>19</v>
      </c>
      <c r="F437" t="s">
        <v>41</v>
      </c>
      <c r="G437" t="s">
        <v>21</v>
      </c>
      <c r="H437">
        <v>8</v>
      </c>
      <c r="I437">
        <v>43.61</v>
      </c>
      <c r="J437">
        <v>0.6</v>
      </c>
      <c r="K437">
        <v>5</v>
      </c>
      <c r="L437" t="str">
        <f>IF(tblTickets[[#This Row],[SLA Target (hrs)]]&gt;=tblTickets[[#This Row],[Actual Resolution Time (hrs)]],"Yes","No")</f>
        <v>No</v>
      </c>
      <c r="M437">
        <f>(tblTickets[[#This Row],[Resolved Date]]-tblTickets[[#This Row],[Created Date]])*24</f>
        <v>43.610000000218861</v>
      </c>
      <c r="N437" t="str">
        <f>IF(tblTickets[[#This Row],[Customer Satisfaction]]&gt;=4,"Satisfied",IF(tblTickets[[#This Row],[Customer Satisfaction]]=3,"Neutral","Dissatisfied"))</f>
        <v>Satisfied</v>
      </c>
    </row>
    <row r="438" spans="1:14" x14ac:dyDescent="0.35">
      <c r="A438" t="s">
        <v>374</v>
      </c>
      <c r="B438" s="3">
        <v>45743</v>
      </c>
      <c r="C438" s="3">
        <v>45744.834166666667</v>
      </c>
      <c r="D438" t="s">
        <v>30</v>
      </c>
      <c r="E438" t="s">
        <v>13</v>
      </c>
      <c r="F438" t="s">
        <v>14</v>
      </c>
      <c r="G438" t="s">
        <v>21</v>
      </c>
      <c r="H438">
        <v>8</v>
      </c>
      <c r="I438">
        <v>44.02</v>
      </c>
      <c r="J438">
        <v>4.33</v>
      </c>
      <c r="K438">
        <v>5</v>
      </c>
      <c r="L438" t="str">
        <f>IF(tblTickets[[#This Row],[SLA Target (hrs)]]&gt;=tblTickets[[#This Row],[Actual Resolution Time (hrs)]],"Yes","No")</f>
        <v>No</v>
      </c>
      <c r="M438">
        <f>(tblTickets[[#This Row],[Resolved Date]]-tblTickets[[#This Row],[Created Date]])*24</f>
        <v>44.020000000018626</v>
      </c>
      <c r="N438" t="str">
        <f>IF(tblTickets[[#This Row],[Customer Satisfaction]]&gt;=4,"Satisfied",IF(tblTickets[[#This Row],[Customer Satisfaction]]=3,"Neutral","Dissatisfied"))</f>
        <v>Satisfied</v>
      </c>
    </row>
    <row r="439" spans="1:14" x14ac:dyDescent="0.35">
      <c r="A439" t="s">
        <v>314</v>
      </c>
      <c r="B439" s="3">
        <v>45731</v>
      </c>
      <c r="C439" s="3">
        <v>45732.845833333333</v>
      </c>
      <c r="D439" t="s">
        <v>12</v>
      </c>
      <c r="E439" t="s">
        <v>17</v>
      </c>
      <c r="F439" t="s">
        <v>45</v>
      </c>
      <c r="G439" t="s">
        <v>26</v>
      </c>
      <c r="H439">
        <v>8</v>
      </c>
      <c r="I439">
        <v>44.3</v>
      </c>
      <c r="J439">
        <v>5.65</v>
      </c>
      <c r="K439">
        <v>5</v>
      </c>
      <c r="L439" t="str">
        <f>IF(tblTickets[[#This Row],[SLA Target (hrs)]]&gt;=tblTickets[[#This Row],[Actual Resolution Time (hrs)]],"Yes","No")</f>
        <v>No</v>
      </c>
      <c r="M439">
        <f>(tblTickets[[#This Row],[Resolved Date]]-tblTickets[[#This Row],[Created Date]])*24</f>
        <v>44.299999999988358</v>
      </c>
      <c r="N439" t="str">
        <f>IF(tblTickets[[#This Row],[Customer Satisfaction]]&gt;=4,"Satisfied",IF(tblTickets[[#This Row],[Customer Satisfaction]]=3,"Neutral","Dissatisfied"))</f>
        <v>Satisfied</v>
      </c>
    </row>
    <row r="440" spans="1:14" x14ac:dyDescent="0.35">
      <c r="A440" t="s">
        <v>255</v>
      </c>
      <c r="B440" s="3">
        <v>45672</v>
      </c>
      <c r="C440" s="3">
        <v>45673.908333333333</v>
      </c>
      <c r="D440" t="s">
        <v>23</v>
      </c>
      <c r="E440" t="s">
        <v>17</v>
      </c>
      <c r="F440" t="s">
        <v>25</v>
      </c>
      <c r="G440" t="s">
        <v>21</v>
      </c>
      <c r="H440">
        <v>4</v>
      </c>
      <c r="I440">
        <v>45.8</v>
      </c>
      <c r="J440">
        <v>1.9</v>
      </c>
      <c r="K440">
        <v>5</v>
      </c>
      <c r="L440" t="str">
        <f>IF(tblTickets[[#This Row],[SLA Target (hrs)]]&gt;=tblTickets[[#This Row],[Actual Resolution Time (hrs)]],"Yes","No")</f>
        <v>No</v>
      </c>
      <c r="M440">
        <f>(tblTickets[[#This Row],[Resolved Date]]-tblTickets[[#This Row],[Created Date]])*24</f>
        <v>45.799999999988358</v>
      </c>
      <c r="N440" t="str">
        <f>IF(tblTickets[[#This Row],[Customer Satisfaction]]&gt;=4,"Satisfied",IF(tblTickets[[#This Row],[Customer Satisfaction]]=3,"Neutral","Dissatisfied"))</f>
        <v>Satisfied</v>
      </c>
    </row>
    <row r="441" spans="1:14" x14ac:dyDescent="0.35">
      <c r="A441" t="s">
        <v>50</v>
      </c>
      <c r="B441" s="3">
        <v>45711</v>
      </c>
      <c r="C441" s="3">
        <v>45712.929166666669</v>
      </c>
      <c r="D441" t="s">
        <v>12</v>
      </c>
      <c r="E441" t="s">
        <v>40</v>
      </c>
      <c r="F441" t="s">
        <v>20</v>
      </c>
      <c r="G441" t="s">
        <v>26</v>
      </c>
      <c r="H441">
        <v>8</v>
      </c>
      <c r="I441">
        <v>46.3</v>
      </c>
      <c r="J441">
        <v>0.99</v>
      </c>
      <c r="K441">
        <v>5</v>
      </c>
      <c r="L441" t="str">
        <f>IF(tblTickets[[#This Row],[SLA Target (hrs)]]&gt;=tblTickets[[#This Row],[Actual Resolution Time (hrs)]],"Yes","No")</f>
        <v>No</v>
      </c>
      <c r="M441">
        <f>(tblTickets[[#This Row],[Resolved Date]]-tblTickets[[#This Row],[Created Date]])*24</f>
        <v>46.300000000046566</v>
      </c>
      <c r="N441" t="str">
        <f>IF(tblTickets[[#This Row],[Customer Satisfaction]]&gt;=4,"Satisfied",IF(tblTickets[[#This Row],[Customer Satisfaction]]=3,"Neutral","Dissatisfied"))</f>
        <v>Satisfied</v>
      </c>
    </row>
    <row r="442" spans="1:14" x14ac:dyDescent="0.35">
      <c r="A442" t="s">
        <v>393</v>
      </c>
      <c r="B442" s="3">
        <v>45747</v>
      </c>
      <c r="C442" s="3">
        <v>45748.932083333333</v>
      </c>
      <c r="D442" t="s">
        <v>23</v>
      </c>
      <c r="E442" t="s">
        <v>17</v>
      </c>
      <c r="F442" t="s">
        <v>20</v>
      </c>
      <c r="G442" t="s">
        <v>26</v>
      </c>
      <c r="H442">
        <v>4</v>
      </c>
      <c r="I442">
        <v>46.37</v>
      </c>
      <c r="J442">
        <v>7.3</v>
      </c>
      <c r="K442">
        <v>5</v>
      </c>
      <c r="L442" t="str">
        <f>IF(tblTickets[[#This Row],[SLA Target (hrs)]]&gt;=tblTickets[[#This Row],[Actual Resolution Time (hrs)]],"Yes","No")</f>
        <v>No</v>
      </c>
      <c r="M442">
        <f>(tblTickets[[#This Row],[Resolved Date]]-tblTickets[[#This Row],[Created Date]])*24</f>
        <v>46.369999999995343</v>
      </c>
      <c r="N442" t="str">
        <f>IF(tblTickets[[#This Row],[Customer Satisfaction]]&gt;=4,"Satisfied",IF(tblTickets[[#This Row],[Customer Satisfaction]]=3,"Neutral","Dissatisfied"))</f>
        <v>Satisfied</v>
      </c>
    </row>
    <row r="443" spans="1:14" x14ac:dyDescent="0.35">
      <c r="A443" t="s">
        <v>144</v>
      </c>
      <c r="B443" s="3">
        <v>45678</v>
      </c>
      <c r="C443" s="3">
        <v>45679.934999999998</v>
      </c>
      <c r="D443" t="s">
        <v>30</v>
      </c>
      <c r="E443" t="s">
        <v>40</v>
      </c>
      <c r="F443" t="s">
        <v>41</v>
      </c>
      <c r="G443" t="s">
        <v>26</v>
      </c>
      <c r="H443">
        <v>8</v>
      </c>
      <c r="I443">
        <v>46.44</v>
      </c>
      <c r="J443">
        <v>1.25</v>
      </c>
      <c r="K443">
        <v>5</v>
      </c>
      <c r="L443" t="str">
        <f>IF(tblTickets[[#This Row],[SLA Target (hrs)]]&gt;=tblTickets[[#This Row],[Actual Resolution Time (hrs)]],"Yes","No")</f>
        <v>No</v>
      </c>
      <c r="M443">
        <f>(tblTickets[[#This Row],[Resolved Date]]-tblTickets[[#This Row],[Created Date]])*24</f>
        <v>46.439999999944121</v>
      </c>
      <c r="N443" t="str">
        <f>IF(tblTickets[[#This Row],[Customer Satisfaction]]&gt;=4,"Satisfied",IF(tblTickets[[#This Row],[Customer Satisfaction]]=3,"Neutral","Dissatisfied"))</f>
        <v>Satisfied</v>
      </c>
    </row>
    <row r="444" spans="1:14" x14ac:dyDescent="0.35">
      <c r="A444" t="s">
        <v>296</v>
      </c>
      <c r="B444" s="3">
        <v>45702</v>
      </c>
      <c r="C444" s="3">
        <v>45703.971666666657</v>
      </c>
      <c r="D444" t="s">
        <v>34</v>
      </c>
      <c r="E444" t="s">
        <v>13</v>
      </c>
      <c r="F444" t="s">
        <v>14</v>
      </c>
      <c r="G444" t="s">
        <v>15</v>
      </c>
      <c r="H444">
        <v>24</v>
      </c>
      <c r="I444">
        <v>47.32</v>
      </c>
      <c r="J444">
        <v>5.13</v>
      </c>
      <c r="K444">
        <v>5</v>
      </c>
      <c r="L444" t="str">
        <f>IF(tblTickets[[#This Row],[SLA Target (hrs)]]&gt;=tblTickets[[#This Row],[Actual Resolution Time (hrs)]],"Yes","No")</f>
        <v>No</v>
      </c>
      <c r="M444">
        <f>(tblTickets[[#This Row],[Resolved Date]]-tblTickets[[#This Row],[Created Date]])*24</f>
        <v>47.319999999774154</v>
      </c>
      <c r="N444" t="str">
        <f>IF(tblTickets[[#This Row],[Customer Satisfaction]]&gt;=4,"Satisfied",IF(tblTickets[[#This Row],[Customer Satisfaction]]=3,"Neutral","Dissatisfied"))</f>
        <v>Satisfied</v>
      </c>
    </row>
    <row r="445" spans="1:14" x14ac:dyDescent="0.35">
      <c r="A445" t="s">
        <v>490</v>
      </c>
      <c r="B445" s="3">
        <v>45669</v>
      </c>
      <c r="C445" s="3">
        <v>45670.982916666668</v>
      </c>
      <c r="D445" t="s">
        <v>23</v>
      </c>
      <c r="E445" t="s">
        <v>13</v>
      </c>
      <c r="F445" t="s">
        <v>45</v>
      </c>
      <c r="G445" t="s">
        <v>15</v>
      </c>
      <c r="H445">
        <v>8</v>
      </c>
      <c r="I445">
        <v>47.59</v>
      </c>
      <c r="J445">
        <v>2.68</v>
      </c>
      <c r="K445">
        <v>5</v>
      </c>
      <c r="L445" t="str">
        <f>IF(tblTickets[[#This Row],[SLA Target (hrs)]]&gt;=tblTickets[[#This Row],[Actual Resolution Time (hrs)]],"Yes","No")</f>
        <v>No</v>
      </c>
      <c r="M445">
        <f>(tblTickets[[#This Row],[Resolved Date]]-tblTickets[[#This Row],[Created Date]])*24</f>
        <v>47.590000000025611</v>
      </c>
      <c r="N445" t="str">
        <f>IF(tblTickets[[#This Row],[Customer Satisfaction]]&gt;=4,"Satisfied",IF(tblTickets[[#This Row],[Customer Satisfaction]]=3,"Neutral","Dissatisfied"))</f>
        <v>Satisfied</v>
      </c>
    </row>
    <row r="446" spans="1:14" x14ac:dyDescent="0.35">
      <c r="A446" t="s">
        <v>168</v>
      </c>
      <c r="B446" s="3">
        <v>45710</v>
      </c>
      <c r="C446" s="3">
        <v>45710.171249999999</v>
      </c>
      <c r="D446" t="s">
        <v>12</v>
      </c>
      <c r="E446" t="s">
        <v>40</v>
      </c>
      <c r="F446" t="s">
        <v>25</v>
      </c>
      <c r="G446" t="s">
        <v>26</v>
      </c>
      <c r="H446">
        <v>4</v>
      </c>
      <c r="I446">
        <v>4.1100000000000003</v>
      </c>
      <c r="J446">
        <v>1.73</v>
      </c>
      <c r="K446">
        <v>5</v>
      </c>
      <c r="L446" t="str">
        <f>IF(tblTickets[[#This Row],[SLA Target (hrs)]]&gt;=tblTickets[[#This Row],[Actual Resolution Time (hrs)]],"Yes","No")</f>
        <v>No</v>
      </c>
      <c r="M446">
        <f>(tblTickets[[#This Row],[Resolved Date]]-tblTickets[[#This Row],[Created Date]])*24</f>
        <v>4.1099999999860302</v>
      </c>
      <c r="N446" t="str">
        <f>IF(tblTickets[[#This Row],[Customer Satisfaction]]&gt;=4,"Satisfied",IF(tblTickets[[#This Row],[Customer Satisfaction]]=3,"Neutral","Dissatisfied"))</f>
        <v>Satisfied</v>
      </c>
    </row>
    <row r="447" spans="1:14" x14ac:dyDescent="0.35">
      <c r="A447" t="s">
        <v>92</v>
      </c>
      <c r="B447" s="3">
        <v>45685</v>
      </c>
      <c r="C447" s="3">
        <v>45685.215833333343</v>
      </c>
      <c r="D447" t="s">
        <v>12</v>
      </c>
      <c r="E447" t="s">
        <v>40</v>
      </c>
      <c r="F447" t="s">
        <v>14</v>
      </c>
      <c r="G447" t="s">
        <v>26</v>
      </c>
      <c r="H447">
        <v>4</v>
      </c>
      <c r="I447">
        <v>5.18</v>
      </c>
      <c r="J447">
        <v>4.04</v>
      </c>
      <c r="K447">
        <v>5</v>
      </c>
      <c r="L447" t="str">
        <f>IF(tblTickets[[#This Row],[SLA Target (hrs)]]&gt;=tblTickets[[#This Row],[Actual Resolution Time (hrs)]],"Yes","No")</f>
        <v>No</v>
      </c>
      <c r="M447">
        <f>(tblTickets[[#This Row],[Resolved Date]]-tblTickets[[#This Row],[Created Date]])*24</f>
        <v>5.1800000002258457</v>
      </c>
      <c r="N447" t="str">
        <f>IF(tblTickets[[#This Row],[Customer Satisfaction]]&gt;=4,"Satisfied",IF(tblTickets[[#This Row],[Customer Satisfaction]]=3,"Neutral","Dissatisfied"))</f>
        <v>Satisfied</v>
      </c>
    </row>
    <row r="448" spans="1:14" x14ac:dyDescent="0.35">
      <c r="A448" t="s">
        <v>400</v>
      </c>
      <c r="B448" s="3">
        <v>45667</v>
      </c>
      <c r="C448" s="3">
        <v>45667.3125</v>
      </c>
      <c r="D448" t="s">
        <v>30</v>
      </c>
      <c r="E448" t="s">
        <v>40</v>
      </c>
      <c r="F448" t="s">
        <v>20</v>
      </c>
      <c r="G448" t="s">
        <v>26</v>
      </c>
      <c r="H448">
        <v>4</v>
      </c>
      <c r="I448">
        <v>7.5</v>
      </c>
      <c r="J448">
        <v>7.97</v>
      </c>
      <c r="K448">
        <v>5</v>
      </c>
      <c r="L448" t="str">
        <f>IF(tblTickets[[#This Row],[SLA Target (hrs)]]&gt;=tblTickets[[#This Row],[Actual Resolution Time (hrs)]],"Yes","No")</f>
        <v>No</v>
      </c>
      <c r="M448">
        <f>(tblTickets[[#This Row],[Resolved Date]]-tblTickets[[#This Row],[Created Date]])*24</f>
        <v>7.5</v>
      </c>
      <c r="N448" t="str">
        <f>IF(tblTickets[[#This Row],[Customer Satisfaction]]&gt;=4,"Satisfied",IF(tblTickets[[#This Row],[Customer Satisfaction]]=3,"Neutral","Dissatisfied"))</f>
        <v>Satisfied</v>
      </c>
    </row>
    <row r="449" spans="1:14" x14ac:dyDescent="0.35">
      <c r="A449" t="s">
        <v>36</v>
      </c>
      <c r="B449" s="3">
        <v>45677</v>
      </c>
      <c r="C449" s="3">
        <v>45677.367083333331</v>
      </c>
      <c r="D449" t="s">
        <v>12</v>
      </c>
      <c r="E449" t="s">
        <v>17</v>
      </c>
      <c r="F449" t="s">
        <v>25</v>
      </c>
      <c r="G449" t="s">
        <v>15</v>
      </c>
      <c r="H449">
        <v>4</v>
      </c>
      <c r="I449">
        <v>8.81</v>
      </c>
      <c r="J449">
        <v>7.81</v>
      </c>
      <c r="K449">
        <v>5</v>
      </c>
      <c r="L449" t="str">
        <f>IF(tblTickets[[#This Row],[SLA Target (hrs)]]&gt;=tblTickets[[#This Row],[Actual Resolution Time (hrs)]],"Yes","No")</f>
        <v>No</v>
      </c>
      <c r="M449">
        <f>(tblTickets[[#This Row],[Resolved Date]]-tblTickets[[#This Row],[Created Date]])*24</f>
        <v>8.809999999939464</v>
      </c>
      <c r="N449" t="str">
        <f>IF(tblTickets[[#This Row],[Customer Satisfaction]]&gt;=4,"Satisfied",IF(tblTickets[[#This Row],[Customer Satisfaction]]=3,"Neutral","Dissatisfied"))</f>
        <v>Satisfied</v>
      </c>
    </row>
    <row r="450" spans="1:14" x14ac:dyDescent="0.35">
      <c r="A450" t="s">
        <v>501</v>
      </c>
      <c r="B450" s="3">
        <v>45705</v>
      </c>
      <c r="C450" s="3">
        <v>45705.374583333331</v>
      </c>
      <c r="D450" t="s">
        <v>30</v>
      </c>
      <c r="E450" t="s">
        <v>40</v>
      </c>
      <c r="F450" t="s">
        <v>41</v>
      </c>
      <c r="G450" t="s">
        <v>21</v>
      </c>
      <c r="H450">
        <v>8</v>
      </c>
      <c r="I450">
        <v>8.99</v>
      </c>
      <c r="J450">
        <v>0.54</v>
      </c>
      <c r="K450">
        <v>5</v>
      </c>
      <c r="L450" t="str">
        <f>IF(tblTickets[[#This Row],[SLA Target (hrs)]]&gt;=tblTickets[[#This Row],[Actual Resolution Time (hrs)]],"Yes","No")</f>
        <v>No</v>
      </c>
      <c r="M450">
        <f>(tblTickets[[#This Row],[Resolved Date]]-tblTickets[[#This Row],[Created Date]])*24</f>
        <v>8.9899999999324791</v>
      </c>
      <c r="N450" t="str">
        <f>IF(tblTickets[[#This Row],[Customer Satisfaction]]&gt;=4,"Satisfied",IF(tblTickets[[#This Row],[Customer Satisfaction]]=3,"Neutral","Dissatisfied"))</f>
        <v>Satisfied</v>
      </c>
    </row>
    <row r="451" spans="1:14" x14ac:dyDescent="0.35">
      <c r="A451" t="s">
        <v>321</v>
      </c>
      <c r="B451" s="3">
        <v>45683</v>
      </c>
      <c r="C451" s="3">
        <v>45683.418333333328</v>
      </c>
      <c r="D451" t="s">
        <v>12</v>
      </c>
      <c r="E451" t="s">
        <v>19</v>
      </c>
      <c r="F451" t="s">
        <v>45</v>
      </c>
      <c r="G451" t="s">
        <v>26</v>
      </c>
      <c r="H451">
        <v>4</v>
      </c>
      <c r="I451">
        <v>10.039999999999999</v>
      </c>
      <c r="J451">
        <v>7.76</v>
      </c>
      <c r="K451">
        <v>5</v>
      </c>
      <c r="L451" t="str">
        <f>IF(tblTickets[[#This Row],[SLA Target (hrs)]]&gt;=tblTickets[[#This Row],[Actual Resolution Time (hrs)]],"Yes","No")</f>
        <v>No</v>
      </c>
      <c r="M451">
        <f>(tblTickets[[#This Row],[Resolved Date]]-tblTickets[[#This Row],[Created Date]])*24</f>
        <v>10.03999999986263</v>
      </c>
      <c r="N451" t="str">
        <f>IF(tblTickets[[#This Row],[Customer Satisfaction]]&gt;=4,"Satisfied",IF(tblTickets[[#This Row],[Customer Satisfaction]]=3,"Neutral","Dissatisfied"))</f>
        <v>Satisfied</v>
      </c>
    </row>
    <row r="452" spans="1:14" x14ac:dyDescent="0.35">
      <c r="A452" t="s">
        <v>398</v>
      </c>
      <c r="B452" s="3">
        <v>45686</v>
      </c>
      <c r="C452" s="3">
        <v>45686.499166666668</v>
      </c>
      <c r="D452" t="s">
        <v>30</v>
      </c>
      <c r="E452" t="s">
        <v>13</v>
      </c>
      <c r="F452" t="s">
        <v>41</v>
      </c>
      <c r="G452" t="s">
        <v>26</v>
      </c>
      <c r="H452">
        <v>8</v>
      </c>
      <c r="I452">
        <v>11.98</v>
      </c>
      <c r="J452">
        <v>2.87</v>
      </c>
      <c r="K452">
        <v>5</v>
      </c>
      <c r="L452" t="str">
        <f>IF(tblTickets[[#This Row],[SLA Target (hrs)]]&gt;=tblTickets[[#This Row],[Actual Resolution Time (hrs)]],"Yes","No")</f>
        <v>No</v>
      </c>
      <c r="M452">
        <f>(tblTickets[[#This Row],[Resolved Date]]-tblTickets[[#This Row],[Created Date]])*24</f>
        <v>11.980000000039581</v>
      </c>
      <c r="N452" t="str">
        <f>IF(tblTickets[[#This Row],[Customer Satisfaction]]&gt;=4,"Satisfied",IF(tblTickets[[#This Row],[Customer Satisfaction]]=3,"Neutral","Dissatisfied"))</f>
        <v>Satisfied</v>
      </c>
    </row>
    <row r="453" spans="1:14" x14ac:dyDescent="0.35">
      <c r="A453" t="s">
        <v>418</v>
      </c>
      <c r="B453" s="3">
        <v>45716</v>
      </c>
      <c r="C453" s="3">
        <v>45716.499166666668</v>
      </c>
      <c r="D453" t="s">
        <v>30</v>
      </c>
      <c r="E453" t="s">
        <v>40</v>
      </c>
      <c r="F453" t="s">
        <v>41</v>
      </c>
      <c r="G453" t="s">
        <v>15</v>
      </c>
      <c r="H453">
        <v>4</v>
      </c>
      <c r="I453">
        <v>11.98</v>
      </c>
      <c r="J453">
        <v>3.69</v>
      </c>
      <c r="K453">
        <v>5</v>
      </c>
      <c r="L453" t="str">
        <f>IF(tblTickets[[#This Row],[SLA Target (hrs)]]&gt;=tblTickets[[#This Row],[Actual Resolution Time (hrs)]],"Yes","No")</f>
        <v>No</v>
      </c>
      <c r="M453">
        <f>(tblTickets[[#This Row],[Resolved Date]]-tblTickets[[#This Row],[Created Date]])*24</f>
        <v>11.980000000039581</v>
      </c>
      <c r="N453" t="str">
        <f>IF(tblTickets[[#This Row],[Customer Satisfaction]]&gt;=4,"Satisfied",IF(tblTickets[[#This Row],[Customer Satisfaction]]=3,"Neutral","Dissatisfied"))</f>
        <v>Satisfied</v>
      </c>
    </row>
    <row r="454" spans="1:14" x14ac:dyDescent="0.35">
      <c r="A454" t="s">
        <v>87</v>
      </c>
      <c r="B454" s="3">
        <v>45661</v>
      </c>
      <c r="C454" s="3">
        <v>45661.505416666667</v>
      </c>
      <c r="D454" t="s">
        <v>23</v>
      </c>
      <c r="E454" t="s">
        <v>19</v>
      </c>
      <c r="F454" t="s">
        <v>41</v>
      </c>
      <c r="G454" t="s">
        <v>26</v>
      </c>
      <c r="H454">
        <v>4</v>
      </c>
      <c r="I454">
        <v>12.13</v>
      </c>
      <c r="J454">
        <v>1.18</v>
      </c>
      <c r="K454">
        <v>5</v>
      </c>
      <c r="L454" t="str">
        <f>IF(tblTickets[[#This Row],[SLA Target (hrs)]]&gt;=tblTickets[[#This Row],[Actual Resolution Time (hrs)]],"Yes","No")</f>
        <v>No</v>
      </c>
      <c r="M454">
        <f>(tblTickets[[#This Row],[Resolved Date]]-tblTickets[[#This Row],[Created Date]])*24</f>
        <v>12.130000000004657</v>
      </c>
      <c r="N454" t="str">
        <f>IF(tblTickets[[#This Row],[Customer Satisfaction]]&gt;=4,"Satisfied",IF(tblTickets[[#This Row],[Customer Satisfaction]]=3,"Neutral","Dissatisfied"))</f>
        <v>Satisfied</v>
      </c>
    </row>
    <row r="455" spans="1:14" x14ac:dyDescent="0.35">
      <c r="A455" t="s">
        <v>420</v>
      </c>
      <c r="B455" s="3">
        <v>45728</v>
      </c>
      <c r="C455" s="3">
        <v>45728.534583333327</v>
      </c>
      <c r="D455" t="s">
        <v>12</v>
      </c>
      <c r="E455" t="s">
        <v>19</v>
      </c>
      <c r="F455" t="s">
        <v>45</v>
      </c>
      <c r="G455" t="s">
        <v>26</v>
      </c>
      <c r="H455">
        <v>4</v>
      </c>
      <c r="I455">
        <v>12.83</v>
      </c>
      <c r="J455">
        <v>3.46</v>
      </c>
      <c r="K455">
        <v>5</v>
      </c>
      <c r="L455" t="str">
        <f>IF(tblTickets[[#This Row],[SLA Target (hrs)]]&gt;=tblTickets[[#This Row],[Actual Resolution Time (hrs)]],"Yes","No")</f>
        <v>No</v>
      </c>
      <c r="M455">
        <f>(tblTickets[[#This Row],[Resolved Date]]-tblTickets[[#This Row],[Created Date]])*24</f>
        <v>12.829999999841675</v>
      </c>
      <c r="N455" t="str">
        <f>IF(tblTickets[[#This Row],[Customer Satisfaction]]&gt;=4,"Satisfied",IF(tblTickets[[#This Row],[Customer Satisfaction]]=3,"Neutral","Dissatisfied"))</f>
        <v>Satisfied</v>
      </c>
    </row>
    <row r="456" spans="1:14" x14ac:dyDescent="0.35">
      <c r="A456" t="s">
        <v>80</v>
      </c>
      <c r="B456" s="3">
        <v>45730</v>
      </c>
      <c r="C456" s="3">
        <v>45730.593333333331</v>
      </c>
      <c r="D456" t="s">
        <v>34</v>
      </c>
      <c r="E456" t="s">
        <v>17</v>
      </c>
      <c r="F456" t="s">
        <v>14</v>
      </c>
      <c r="G456" t="s">
        <v>26</v>
      </c>
      <c r="H456">
        <v>4</v>
      </c>
      <c r="I456">
        <v>14.24</v>
      </c>
      <c r="J456">
        <v>5.46</v>
      </c>
      <c r="K456">
        <v>5</v>
      </c>
      <c r="L456" t="str">
        <f>IF(tblTickets[[#This Row],[SLA Target (hrs)]]&gt;=tblTickets[[#This Row],[Actual Resolution Time (hrs)]],"Yes","No")</f>
        <v>No</v>
      </c>
      <c r="M456">
        <f>(tblTickets[[#This Row],[Resolved Date]]-tblTickets[[#This Row],[Created Date]])*24</f>
        <v>14.239999999932479</v>
      </c>
      <c r="N456" t="str">
        <f>IF(tblTickets[[#This Row],[Customer Satisfaction]]&gt;=4,"Satisfied",IF(tblTickets[[#This Row],[Customer Satisfaction]]=3,"Neutral","Dissatisfied"))</f>
        <v>Satisfied</v>
      </c>
    </row>
    <row r="457" spans="1:14" x14ac:dyDescent="0.35">
      <c r="A457" t="s">
        <v>242</v>
      </c>
      <c r="B457" s="3">
        <v>45748</v>
      </c>
      <c r="C457" s="3">
        <v>45748.618333333332</v>
      </c>
      <c r="D457" t="s">
        <v>30</v>
      </c>
      <c r="E457" t="s">
        <v>40</v>
      </c>
      <c r="F457" t="s">
        <v>25</v>
      </c>
      <c r="G457" t="s">
        <v>21</v>
      </c>
      <c r="H457">
        <v>8</v>
      </c>
      <c r="I457">
        <v>14.84</v>
      </c>
      <c r="J457">
        <v>3.31</v>
      </c>
      <c r="K457">
        <v>5</v>
      </c>
      <c r="L457" t="str">
        <f>IF(tblTickets[[#This Row],[SLA Target (hrs)]]&gt;=tblTickets[[#This Row],[Actual Resolution Time (hrs)]],"Yes","No")</f>
        <v>No</v>
      </c>
      <c r="M457">
        <f>(tblTickets[[#This Row],[Resolved Date]]-tblTickets[[#This Row],[Created Date]])*24</f>
        <v>14.839999999967404</v>
      </c>
      <c r="N457" t="str">
        <f>IF(tblTickets[[#This Row],[Customer Satisfaction]]&gt;=4,"Satisfied",IF(tblTickets[[#This Row],[Customer Satisfaction]]=3,"Neutral","Dissatisfied"))</f>
        <v>Satisfied</v>
      </c>
    </row>
    <row r="458" spans="1:14" x14ac:dyDescent="0.35">
      <c r="A458" t="s">
        <v>385</v>
      </c>
      <c r="B458" s="3">
        <v>45724</v>
      </c>
      <c r="C458" s="3">
        <v>45724.640416666669</v>
      </c>
      <c r="D458" t="s">
        <v>23</v>
      </c>
      <c r="E458" t="s">
        <v>13</v>
      </c>
      <c r="F458" t="s">
        <v>14</v>
      </c>
      <c r="G458" t="s">
        <v>26</v>
      </c>
      <c r="H458">
        <v>8</v>
      </c>
      <c r="I458">
        <v>15.37</v>
      </c>
      <c r="J458">
        <v>2.69</v>
      </c>
      <c r="K458">
        <v>5</v>
      </c>
      <c r="L458" t="str">
        <f>IF(tblTickets[[#This Row],[SLA Target (hrs)]]&gt;=tblTickets[[#This Row],[Actual Resolution Time (hrs)]],"Yes","No")</f>
        <v>No</v>
      </c>
      <c r="M458">
        <f>(tblTickets[[#This Row],[Resolved Date]]-tblTickets[[#This Row],[Created Date]])*24</f>
        <v>15.370000000053551</v>
      </c>
      <c r="N458" t="str">
        <f>IF(tblTickets[[#This Row],[Customer Satisfaction]]&gt;=4,"Satisfied",IF(tblTickets[[#This Row],[Customer Satisfaction]]=3,"Neutral","Dissatisfied"))</f>
        <v>Satisfied</v>
      </c>
    </row>
    <row r="459" spans="1:14" x14ac:dyDescent="0.35">
      <c r="A459" t="s">
        <v>226</v>
      </c>
      <c r="B459" s="3">
        <v>45699</v>
      </c>
      <c r="C459" s="3">
        <v>45699.659583333327</v>
      </c>
      <c r="D459" t="s">
        <v>30</v>
      </c>
      <c r="E459" t="s">
        <v>40</v>
      </c>
      <c r="F459" t="s">
        <v>14</v>
      </c>
      <c r="G459" t="s">
        <v>15</v>
      </c>
      <c r="H459">
        <v>4</v>
      </c>
      <c r="I459">
        <v>15.83</v>
      </c>
      <c r="J459">
        <v>5.09</v>
      </c>
      <c r="K459">
        <v>5</v>
      </c>
      <c r="L459" t="str">
        <f>IF(tblTickets[[#This Row],[SLA Target (hrs)]]&gt;=tblTickets[[#This Row],[Actual Resolution Time (hrs)]],"Yes","No")</f>
        <v>No</v>
      </c>
      <c r="M459">
        <f>(tblTickets[[#This Row],[Resolved Date]]-tblTickets[[#This Row],[Created Date]])*24</f>
        <v>15.829999999841675</v>
      </c>
      <c r="N459" t="str">
        <f>IF(tblTickets[[#This Row],[Customer Satisfaction]]&gt;=4,"Satisfied",IF(tblTickets[[#This Row],[Customer Satisfaction]]=3,"Neutral","Dissatisfied"))</f>
        <v>Satisfied</v>
      </c>
    </row>
    <row r="460" spans="1:14" x14ac:dyDescent="0.35">
      <c r="A460" t="s">
        <v>169</v>
      </c>
      <c r="B460" s="3">
        <v>45702</v>
      </c>
      <c r="C460" s="3">
        <v>45702.7</v>
      </c>
      <c r="D460" t="s">
        <v>12</v>
      </c>
      <c r="E460" t="s">
        <v>40</v>
      </c>
      <c r="F460" t="s">
        <v>41</v>
      </c>
      <c r="G460" t="s">
        <v>15</v>
      </c>
      <c r="H460">
        <v>4</v>
      </c>
      <c r="I460">
        <v>16.8</v>
      </c>
      <c r="J460">
        <v>3.98</v>
      </c>
      <c r="K460">
        <v>5</v>
      </c>
      <c r="L460" t="str">
        <f>IF(tblTickets[[#This Row],[SLA Target (hrs)]]&gt;=tblTickets[[#This Row],[Actual Resolution Time (hrs)]],"Yes","No")</f>
        <v>No</v>
      </c>
      <c r="M460">
        <f>(tblTickets[[#This Row],[Resolved Date]]-tblTickets[[#This Row],[Created Date]])*24</f>
        <v>16.799999999930151</v>
      </c>
      <c r="N460" t="str">
        <f>IF(tblTickets[[#This Row],[Customer Satisfaction]]&gt;=4,"Satisfied",IF(tblTickets[[#This Row],[Customer Satisfaction]]=3,"Neutral","Dissatisfied"))</f>
        <v>Satisfied</v>
      </c>
    </row>
    <row r="461" spans="1:14" x14ac:dyDescent="0.35">
      <c r="A461" t="s">
        <v>468</v>
      </c>
      <c r="B461" s="3">
        <v>45716</v>
      </c>
      <c r="C461" s="3">
        <v>45716.718333333331</v>
      </c>
      <c r="D461" t="s">
        <v>34</v>
      </c>
      <c r="E461" t="s">
        <v>17</v>
      </c>
      <c r="F461" t="s">
        <v>45</v>
      </c>
      <c r="G461" t="s">
        <v>26</v>
      </c>
      <c r="H461">
        <v>8</v>
      </c>
      <c r="I461">
        <v>17.239999999999998</v>
      </c>
      <c r="J461">
        <v>4.72</v>
      </c>
      <c r="K461">
        <v>5</v>
      </c>
      <c r="L461" t="str">
        <f>IF(tblTickets[[#This Row],[SLA Target (hrs)]]&gt;=tblTickets[[#This Row],[Actual Resolution Time (hrs)]],"Yes","No")</f>
        <v>No</v>
      </c>
      <c r="M461">
        <f>(tblTickets[[#This Row],[Resolved Date]]-tblTickets[[#This Row],[Created Date]])*24</f>
        <v>17.239999999932479</v>
      </c>
      <c r="N461" t="str">
        <f>IF(tblTickets[[#This Row],[Customer Satisfaction]]&gt;=4,"Satisfied",IF(tblTickets[[#This Row],[Customer Satisfaction]]=3,"Neutral","Dissatisfied"))</f>
        <v>Satisfied</v>
      </c>
    </row>
    <row r="462" spans="1:14" x14ac:dyDescent="0.35">
      <c r="A462" t="s">
        <v>52</v>
      </c>
      <c r="B462" s="3">
        <v>45734</v>
      </c>
      <c r="C462" s="3">
        <v>45734.741249999999</v>
      </c>
      <c r="D462" t="s">
        <v>23</v>
      </c>
      <c r="E462" t="s">
        <v>13</v>
      </c>
      <c r="F462" t="s">
        <v>45</v>
      </c>
      <c r="G462" t="s">
        <v>26</v>
      </c>
      <c r="H462">
        <v>8</v>
      </c>
      <c r="I462">
        <v>17.79</v>
      </c>
      <c r="J462">
        <v>3.27</v>
      </c>
      <c r="K462">
        <v>5</v>
      </c>
      <c r="L462" t="str">
        <f>IF(tblTickets[[#This Row],[SLA Target (hrs)]]&gt;=tblTickets[[#This Row],[Actual Resolution Time (hrs)]],"Yes","No")</f>
        <v>No</v>
      </c>
      <c r="M462">
        <f>(tblTickets[[#This Row],[Resolved Date]]-tblTickets[[#This Row],[Created Date]])*24</f>
        <v>17.789999999979045</v>
      </c>
      <c r="N462" t="str">
        <f>IF(tblTickets[[#This Row],[Customer Satisfaction]]&gt;=4,"Satisfied",IF(tblTickets[[#This Row],[Customer Satisfaction]]=3,"Neutral","Dissatisfied"))</f>
        <v>Satisfied</v>
      </c>
    </row>
    <row r="463" spans="1:14" x14ac:dyDescent="0.35">
      <c r="A463" t="s">
        <v>152</v>
      </c>
      <c r="B463" s="3">
        <v>45722</v>
      </c>
      <c r="C463" s="3">
        <v>45722.754583333342</v>
      </c>
      <c r="D463" t="s">
        <v>34</v>
      </c>
      <c r="E463" t="s">
        <v>19</v>
      </c>
      <c r="F463" t="s">
        <v>25</v>
      </c>
      <c r="G463" t="s">
        <v>15</v>
      </c>
      <c r="H463">
        <v>4</v>
      </c>
      <c r="I463">
        <v>18.11</v>
      </c>
      <c r="J463">
        <v>2.68</v>
      </c>
      <c r="K463">
        <v>5</v>
      </c>
      <c r="L463" t="str">
        <f>IF(tblTickets[[#This Row],[SLA Target (hrs)]]&gt;=tblTickets[[#This Row],[Actual Resolution Time (hrs)]],"Yes","No")</f>
        <v>No</v>
      </c>
      <c r="M463">
        <f>(tblTickets[[#This Row],[Resolved Date]]-tblTickets[[#This Row],[Created Date]])*24</f>
        <v>18.110000000218861</v>
      </c>
      <c r="N463" t="str">
        <f>IF(tblTickets[[#This Row],[Customer Satisfaction]]&gt;=4,"Satisfied",IF(tblTickets[[#This Row],[Customer Satisfaction]]=3,"Neutral","Dissatisfied"))</f>
        <v>Satisfied</v>
      </c>
    </row>
    <row r="464" spans="1:14" x14ac:dyDescent="0.35">
      <c r="A464" t="s">
        <v>258</v>
      </c>
      <c r="B464" s="3">
        <v>45691</v>
      </c>
      <c r="C464" s="3">
        <v>45691.754583333342</v>
      </c>
      <c r="D464" t="s">
        <v>23</v>
      </c>
      <c r="E464" t="s">
        <v>40</v>
      </c>
      <c r="F464" t="s">
        <v>45</v>
      </c>
      <c r="G464" t="s">
        <v>26</v>
      </c>
      <c r="H464">
        <v>8</v>
      </c>
      <c r="I464">
        <v>18.11</v>
      </c>
      <c r="J464">
        <v>4.7699999999999996</v>
      </c>
      <c r="K464">
        <v>5</v>
      </c>
      <c r="L464" t="str">
        <f>IF(tblTickets[[#This Row],[SLA Target (hrs)]]&gt;=tblTickets[[#This Row],[Actual Resolution Time (hrs)]],"Yes","No")</f>
        <v>No</v>
      </c>
      <c r="M464">
        <f>(tblTickets[[#This Row],[Resolved Date]]-tblTickets[[#This Row],[Created Date]])*24</f>
        <v>18.110000000218861</v>
      </c>
      <c r="N464" t="str">
        <f>IF(tblTickets[[#This Row],[Customer Satisfaction]]&gt;=4,"Satisfied",IF(tblTickets[[#This Row],[Customer Satisfaction]]=3,"Neutral","Dissatisfied"))</f>
        <v>Satisfied</v>
      </c>
    </row>
    <row r="465" spans="1:14" x14ac:dyDescent="0.35">
      <c r="A465" t="s">
        <v>232</v>
      </c>
      <c r="B465" s="3">
        <v>45702</v>
      </c>
      <c r="C465" s="3">
        <v>45702.755833333344</v>
      </c>
      <c r="D465" t="s">
        <v>12</v>
      </c>
      <c r="E465" t="s">
        <v>13</v>
      </c>
      <c r="F465" t="s">
        <v>41</v>
      </c>
      <c r="G465" t="s">
        <v>15</v>
      </c>
      <c r="H465">
        <v>4</v>
      </c>
      <c r="I465">
        <v>18.14</v>
      </c>
      <c r="J465">
        <v>1.81</v>
      </c>
      <c r="K465">
        <v>5</v>
      </c>
      <c r="L465" t="str">
        <f>IF(tblTickets[[#This Row],[SLA Target (hrs)]]&gt;=tblTickets[[#This Row],[Actual Resolution Time (hrs)]],"Yes","No")</f>
        <v>No</v>
      </c>
      <c r="M465">
        <f>(tblTickets[[#This Row],[Resolved Date]]-tblTickets[[#This Row],[Created Date]])*24</f>
        <v>18.1400000002468</v>
      </c>
      <c r="N465" t="str">
        <f>IF(tblTickets[[#This Row],[Customer Satisfaction]]&gt;=4,"Satisfied",IF(tblTickets[[#This Row],[Customer Satisfaction]]=3,"Neutral","Dissatisfied"))</f>
        <v>Satisfied</v>
      </c>
    </row>
    <row r="466" spans="1:14" x14ac:dyDescent="0.35">
      <c r="A466" t="s">
        <v>101</v>
      </c>
      <c r="B466" s="3">
        <v>45690</v>
      </c>
      <c r="C466" s="3">
        <v>45690.765833333331</v>
      </c>
      <c r="D466" t="s">
        <v>30</v>
      </c>
      <c r="E466" t="s">
        <v>19</v>
      </c>
      <c r="F466" t="s">
        <v>14</v>
      </c>
      <c r="G466" t="s">
        <v>26</v>
      </c>
      <c r="H466">
        <v>8</v>
      </c>
      <c r="I466">
        <v>18.38</v>
      </c>
      <c r="J466">
        <v>1.94</v>
      </c>
      <c r="K466">
        <v>5</v>
      </c>
      <c r="L466" t="str">
        <f>IF(tblTickets[[#This Row],[SLA Target (hrs)]]&gt;=tblTickets[[#This Row],[Actual Resolution Time (hrs)]],"Yes","No")</f>
        <v>No</v>
      </c>
      <c r="M466">
        <f>(tblTickets[[#This Row],[Resolved Date]]-tblTickets[[#This Row],[Created Date]])*24</f>
        <v>18.379999999946449</v>
      </c>
      <c r="N466" t="str">
        <f>IF(tblTickets[[#This Row],[Customer Satisfaction]]&gt;=4,"Satisfied",IF(tblTickets[[#This Row],[Customer Satisfaction]]=3,"Neutral","Dissatisfied"))</f>
        <v>Satisfied</v>
      </c>
    </row>
    <row r="467" spans="1:14" x14ac:dyDescent="0.35">
      <c r="A467" t="s">
        <v>162</v>
      </c>
      <c r="B467" s="3">
        <v>45700</v>
      </c>
      <c r="C467" s="3">
        <v>45700.82708333333</v>
      </c>
      <c r="D467" t="s">
        <v>12</v>
      </c>
      <c r="E467" t="s">
        <v>19</v>
      </c>
      <c r="F467" t="s">
        <v>45</v>
      </c>
      <c r="G467" t="s">
        <v>15</v>
      </c>
      <c r="H467">
        <v>8</v>
      </c>
      <c r="I467">
        <v>19.850000000000001</v>
      </c>
      <c r="J467">
        <v>6.18</v>
      </c>
      <c r="K467">
        <v>5</v>
      </c>
      <c r="L467" t="str">
        <f>IF(tblTickets[[#This Row],[SLA Target (hrs)]]&gt;=tblTickets[[#This Row],[Actual Resolution Time (hrs)]],"Yes","No")</f>
        <v>No</v>
      </c>
      <c r="M467">
        <f>(tblTickets[[#This Row],[Resolved Date]]-tblTickets[[#This Row],[Created Date]])*24</f>
        <v>19.849999999918509</v>
      </c>
      <c r="N467" t="str">
        <f>IF(tblTickets[[#This Row],[Customer Satisfaction]]&gt;=4,"Satisfied",IF(tblTickets[[#This Row],[Customer Satisfaction]]=3,"Neutral","Dissatisfied"))</f>
        <v>Satisfied</v>
      </c>
    </row>
    <row r="468" spans="1:14" x14ac:dyDescent="0.35">
      <c r="A468" t="s">
        <v>462</v>
      </c>
      <c r="B468" s="3">
        <v>45708</v>
      </c>
      <c r="C468" s="3">
        <v>45708.864999999998</v>
      </c>
      <c r="D468" t="s">
        <v>30</v>
      </c>
      <c r="E468" t="s">
        <v>40</v>
      </c>
      <c r="F468" t="s">
        <v>20</v>
      </c>
      <c r="G468" t="s">
        <v>26</v>
      </c>
      <c r="H468">
        <v>8</v>
      </c>
      <c r="I468">
        <v>20.76</v>
      </c>
      <c r="J468">
        <v>2.34</v>
      </c>
      <c r="K468">
        <v>5</v>
      </c>
      <c r="L468" t="str">
        <f>IF(tblTickets[[#This Row],[SLA Target (hrs)]]&gt;=tblTickets[[#This Row],[Actual Resolution Time (hrs)]],"Yes","No")</f>
        <v>No</v>
      </c>
      <c r="M468">
        <f>(tblTickets[[#This Row],[Resolved Date]]-tblTickets[[#This Row],[Created Date]])*24</f>
        <v>20.759999999951106</v>
      </c>
      <c r="N468" t="str">
        <f>IF(tblTickets[[#This Row],[Customer Satisfaction]]&gt;=4,"Satisfied",IF(tblTickets[[#This Row],[Customer Satisfaction]]=3,"Neutral","Dissatisfied"))</f>
        <v>Satisfied</v>
      </c>
    </row>
    <row r="469" spans="1:14" x14ac:dyDescent="0.35">
      <c r="A469" t="s">
        <v>394</v>
      </c>
      <c r="B469" s="3">
        <v>45699</v>
      </c>
      <c r="C469" s="3">
        <v>45699.902499999997</v>
      </c>
      <c r="D469" t="s">
        <v>12</v>
      </c>
      <c r="E469" t="s">
        <v>17</v>
      </c>
      <c r="F469" t="s">
        <v>14</v>
      </c>
      <c r="G469" t="s">
        <v>15</v>
      </c>
      <c r="H469">
        <v>4</v>
      </c>
      <c r="I469">
        <v>21.66</v>
      </c>
      <c r="J469">
        <v>3.79</v>
      </c>
      <c r="K469">
        <v>5</v>
      </c>
      <c r="L469" t="str">
        <f>IF(tblTickets[[#This Row],[SLA Target (hrs)]]&gt;=tblTickets[[#This Row],[Actual Resolution Time (hrs)]],"Yes","No")</f>
        <v>No</v>
      </c>
      <c r="M469">
        <f>(tblTickets[[#This Row],[Resolved Date]]-tblTickets[[#This Row],[Created Date]])*24</f>
        <v>21.659999999916181</v>
      </c>
      <c r="N469" t="str">
        <f>IF(tblTickets[[#This Row],[Customer Satisfaction]]&gt;=4,"Satisfied",IF(tblTickets[[#This Row],[Customer Satisfaction]]=3,"Neutral","Dissatisfied"))</f>
        <v>Satisfied</v>
      </c>
    </row>
    <row r="470" spans="1:14" x14ac:dyDescent="0.35">
      <c r="A470" t="s">
        <v>469</v>
      </c>
      <c r="B470" s="3">
        <v>45702</v>
      </c>
      <c r="C470" s="3">
        <v>45702.904583333337</v>
      </c>
      <c r="D470" t="s">
        <v>23</v>
      </c>
      <c r="E470" t="s">
        <v>17</v>
      </c>
      <c r="F470" t="s">
        <v>41</v>
      </c>
      <c r="G470" t="s">
        <v>26</v>
      </c>
      <c r="H470">
        <v>8</v>
      </c>
      <c r="I470">
        <v>21.71</v>
      </c>
      <c r="J470">
        <v>5.47</v>
      </c>
      <c r="K470">
        <v>5</v>
      </c>
      <c r="L470" t="str">
        <f>IF(tblTickets[[#This Row],[SLA Target (hrs)]]&gt;=tblTickets[[#This Row],[Actual Resolution Time (hrs)]],"Yes","No")</f>
        <v>No</v>
      </c>
      <c r="M470">
        <f>(tblTickets[[#This Row],[Resolved Date]]-tblTickets[[#This Row],[Created Date]])*24</f>
        <v>21.710000000079162</v>
      </c>
      <c r="N470" t="str">
        <f>IF(tblTickets[[#This Row],[Customer Satisfaction]]&gt;=4,"Satisfied",IF(tblTickets[[#This Row],[Customer Satisfaction]]=3,"Neutral","Dissatisfied"))</f>
        <v>Satisfied</v>
      </c>
    </row>
    <row r="471" spans="1:14" x14ac:dyDescent="0.35">
      <c r="A471" t="s">
        <v>228</v>
      </c>
      <c r="B471" s="3">
        <v>45708</v>
      </c>
      <c r="C471" s="3">
        <v>45708.939583333333</v>
      </c>
      <c r="D471" t="s">
        <v>34</v>
      </c>
      <c r="E471" t="s">
        <v>13</v>
      </c>
      <c r="F471" t="s">
        <v>20</v>
      </c>
      <c r="G471" t="s">
        <v>26</v>
      </c>
      <c r="H471">
        <v>8</v>
      </c>
      <c r="I471">
        <v>22.55</v>
      </c>
      <c r="J471">
        <v>1.46</v>
      </c>
      <c r="K471">
        <v>5</v>
      </c>
      <c r="L471" t="str">
        <f>IF(tblTickets[[#This Row],[SLA Target (hrs)]]&gt;=tblTickets[[#This Row],[Actual Resolution Time (hrs)]],"Yes","No")</f>
        <v>No</v>
      </c>
      <c r="M471">
        <f>(tblTickets[[#This Row],[Resolved Date]]-tblTickets[[#This Row],[Created Date]])*24</f>
        <v>22.549999999988358</v>
      </c>
      <c r="N471" t="str">
        <f>IF(tblTickets[[#This Row],[Customer Satisfaction]]&gt;=4,"Satisfied",IF(tblTickets[[#This Row],[Customer Satisfaction]]=3,"Neutral","Dissatisfied"))</f>
        <v>Satisfied</v>
      </c>
    </row>
    <row r="472" spans="1:14" x14ac:dyDescent="0.35">
      <c r="A472" t="s">
        <v>64</v>
      </c>
      <c r="B472" s="3">
        <v>45697</v>
      </c>
      <c r="C472" s="3">
        <v>45697.989166666674</v>
      </c>
      <c r="D472" t="s">
        <v>30</v>
      </c>
      <c r="E472" t="s">
        <v>13</v>
      </c>
      <c r="F472" t="s">
        <v>41</v>
      </c>
      <c r="G472" t="s">
        <v>15</v>
      </c>
      <c r="H472">
        <v>4</v>
      </c>
      <c r="I472">
        <v>23.74</v>
      </c>
      <c r="J472">
        <v>3.65</v>
      </c>
      <c r="K472">
        <v>5</v>
      </c>
      <c r="L472" t="str">
        <f>IF(tblTickets[[#This Row],[SLA Target (hrs)]]&gt;=tblTickets[[#This Row],[Actual Resolution Time (hrs)]],"Yes","No")</f>
        <v>No</v>
      </c>
      <c r="M472">
        <f>(tblTickets[[#This Row],[Resolved Date]]-tblTickets[[#This Row],[Created Date]])*24</f>
        <v>23.74000000016531</v>
      </c>
      <c r="N472" t="str">
        <f>IF(tblTickets[[#This Row],[Customer Satisfaction]]&gt;=4,"Satisfied",IF(tblTickets[[#This Row],[Customer Satisfaction]]=3,"Neutral","Dissatisfied"))</f>
        <v>Satisfied</v>
      </c>
    </row>
    <row r="473" spans="1:14" x14ac:dyDescent="0.35">
      <c r="A473" t="s">
        <v>241</v>
      </c>
      <c r="B473" s="3">
        <v>45742</v>
      </c>
      <c r="C473" s="3">
        <v>45743.028333333343</v>
      </c>
      <c r="D473" t="s">
        <v>34</v>
      </c>
      <c r="E473" t="s">
        <v>19</v>
      </c>
      <c r="F473" t="s">
        <v>25</v>
      </c>
      <c r="G473" t="s">
        <v>21</v>
      </c>
      <c r="H473">
        <v>4</v>
      </c>
      <c r="I473">
        <v>24.68</v>
      </c>
      <c r="J473">
        <v>5.57</v>
      </c>
      <c r="K473">
        <v>5</v>
      </c>
      <c r="L473" t="str">
        <f>IF(tblTickets[[#This Row],[SLA Target (hrs)]]&gt;=tblTickets[[#This Row],[Actual Resolution Time (hrs)]],"Yes","No")</f>
        <v>No</v>
      </c>
      <c r="M473">
        <f>(tblTickets[[#This Row],[Resolved Date]]-tblTickets[[#This Row],[Created Date]])*24</f>
        <v>24.680000000225846</v>
      </c>
      <c r="N473" t="str">
        <f>IF(tblTickets[[#This Row],[Customer Satisfaction]]&gt;=4,"Satisfied",IF(tblTickets[[#This Row],[Customer Satisfaction]]=3,"Neutral","Dissatisfied"))</f>
        <v>Satisfied</v>
      </c>
    </row>
    <row r="474" spans="1:14" x14ac:dyDescent="0.35">
      <c r="A474" t="s">
        <v>465</v>
      </c>
      <c r="B474" s="3">
        <v>45694</v>
      </c>
      <c r="C474" s="3">
        <v>45695.048333333332</v>
      </c>
      <c r="D474" t="s">
        <v>30</v>
      </c>
      <c r="E474" t="s">
        <v>13</v>
      </c>
      <c r="F474" t="s">
        <v>25</v>
      </c>
      <c r="G474" t="s">
        <v>21</v>
      </c>
      <c r="H474">
        <v>4</v>
      </c>
      <c r="I474">
        <v>25.16</v>
      </c>
      <c r="J474">
        <v>7.05</v>
      </c>
      <c r="K474">
        <v>5</v>
      </c>
      <c r="L474" t="str">
        <f>IF(tblTickets[[#This Row],[SLA Target (hrs)]]&gt;=tblTickets[[#This Row],[Actual Resolution Time (hrs)]],"Yes","No")</f>
        <v>No</v>
      </c>
      <c r="M474">
        <f>(tblTickets[[#This Row],[Resolved Date]]-tblTickets[[#This Row],[Created Date]])*24</f>
        <v>25.159999999974389</v>
      </c>
      <c r="N474" t="str">
        <f>IF(tblTickets[[#This Row],[Customer Satisfaction]]&gt;=4,"Satisfied",IF(tblTickets[[#This Row],[Customer Satisfaction]]=3,"Neutral","Dissatisfied"))</f>
        <v>Satisfied</v>
      </c>
    </row>
    <row r="475" spans="1:14" x14ac:dyDescent="0.35">
      <c r="A475" t="s">
        <v>56</v>
      </c>
      <c r="B475" s="3">
        <v>45740</v>
      </c>
      <c r="C475" s="3">
        <v>45741.048750000002</v>
      </c>
      <c r="D475" t="s">
        <v>12</v>
      </c>
      <c r="E475" t="s">
        <v>19</v>
      </c>
      <c r="F475" t="s">
        <v>25</v>
      </c>
      <c r="G475" t="s">
        <v>21</v>
      </c>
      <c r="H475">
        <v>4</v>
      </c>
      <c r="I475">
        <v>25.17</v>
      </c>
      <c r="J475">
        <v>3.23</v>
      </c>
      <c r="K475">
        <v>5</v>
      </c>
      <c r="L475" t="str">
        <f>IF(tblTickets[[#This Row],[SLA Target (hrs)]]&gt;=tblTickets[[#This Row],[Actual Resolution Time (hrs)]],"Yes","No")</f>
        <v>No</v>
      </c>
      <c r="M475">
        <f>(tblTickets[[#This Row],[Resolved Date]]-tblTickets[[#This Row],[Created Date]])*24</f>
        <v>25.17000000004191</v>
      </c>
      <c r="N475" t="str">
        <f>IF(tblTickets[[#This Row],[Customer Satisfaction]]&gt;=4,"Satisfied",IF(tblTickets[[#This Row],[Customer Satisfaction]]=3,"Neutral","Dissatisfied"))</f>
        <v>Satisfied</v>
      </c>
    </row>
    <row r="476" spans="1:14" x14ac:dyDescent="0.35">
      <c r="A476" t="s">
        <v>157</v>
      </c>
      <c r="B476" s="3">
        <v>45703</v>
      </c>
      <c r="C476" s="3">
        <v>45704.066250000003</v>
      </c>
      <c r="D476" t="s">
        <v>12</v>
      </c>
      <c r="E476" t="s">
        <v>40</v>
      </c>
      <c r="F476" t="s">
        <v>25</v>
      </c>
      <c r="G476" t="s">
        <v>26</v>
      </c>
      <c r="H476">
        <v>8</v>
      </c>
      <c r="I476">
        <v>25.59</v>
      </c>
      <c r="J476">
        <v>0.91</v>
      </c>
      <c r="K476">
        <v>5</v>
      </c>
      <c r="L476" t="str">
        <f>IF(tblTickets[[#This Row],[SLA Target (hrs)]]&gt;=tblTickets[[#This Row],[Actual Resolution Time (hrs)]],"Yes","No")</f>
        <v>No</v>
      </c>
      <c r="M476">
        <f>(tblTickets[[#This Row],[Resolved Date]]-tblTickets[[#This Row],[Created Date]])*24</f>
        <v>25.590000000083819</v>
      </c>
      <c r="N476" t="str">
        <f>IF(tblTickets[[#This Row],[Customer Satisfaction]]&gt;=4,"Satisfied",IF(tblTickets[[#This Row],[Customer Satisfaction]]=3,"Neutral","Dissatisfied"))</f>
        <v>Satisfied</v>
      </c>
    </row>
    <row r="477" spans="1:14" x14ac:dyDescent="0.35">
      <c r="A477" t="s">
        <v>237</v>
      </c>
      <c r="B477" s="3">
        <v>45741</v>
      </c>
      <c r="C477" s="3">
        <v>45742.077916666669</v>
      </c>
      <c r="D477" t="s">
        <v>12</v>
      </c>
      <c r="E477" t="s">
        <v>40</v>
      </c>
      <c r="F477" t="s">
        <v>20</v>
      </c>
      <c r="G477" t="s">
        <v>15</v>
      </c>
      <c r="H477">
        <v>8</v>
      </c>
      <c r="I477">
        <v>25.87</v>
      </c>
      <c r="J477">
        <v>6.05</v>
      </c>
      <c r="K477">
        <v>5</v>
      </c>
      <c r="L477" t="str">
        <f>IF(tblTickets[[#This Row],[SLA Target (hrs)]]&gt;=tblTickets[[#This Row],[Actual Resolution Time (hrs)]],"Yes","No")</f>
        <v>No</v>
      </c>
      <c r="M477">
        <f>(tblTickets[[#This Row],[Resolved Date]]-tblTickets[[#This Row],[Created Date]])*24</f>
        <v>25.870000000053551</v>
      </c>
      <c r="N477" t="str">
        <f>IF(tblTickets[[#This Row],[Customer Satisfaction]]&gt;=4,"Satisfied",IF(tblTickets[[#This Row],[Customer Satisfaction]]=3,"Neutral","Dissatisfied"))</f>
        <v>Satisfied</v>
      </c>
    </row>
    <row r="478" spans="1:14" x14ac:dyDescent="0.35">
      <c r="A478" t="s">
        <v>403</v>
      </c>
      <c r="B478" s="3">
        <v>45707</v>
      </c>
      <c r="C478" s="3">
        <v>45708.089583333327</v>
      </c>
      <c r="D478" t="s">
        <v>30</v>
      </c>
      <c r="E478" t="s">
        <v>13</v>
      </c>
      <c r="F478" t="s">
        <v>25</v>
      </c>
      <c r="G478" t="s">
        <v>26</v>
      </c>
      <c r="H478">
        <v>4</v>
      </c>
      <c r="I478">
        <v>26.15</v>
      </c>
      <c r="J478">
        <v>4.28</v>
      </c>
      <c r="K478">
        <v>5</v>
      </c>
      <c r="L478" t="str">
        <f>IF(tblTickets[[#This Row],[SLA Target (hrs)]]&gt;=tblTickets[[#This Row],[Actual Resolution Time (hrs)]],"Yes","No")</f>
        <v>No</v>
      </c>
      <c r="M478">
        <f>(tblTickets[[#This Row],[Resolved Date]]-tblTickets[[#This Row],[Created Date]])*24</f>
        <v>26.14999999984866</v>
      </c>
      <c r="N478" t="str">
        <f>IF(tblTickets[[#This Row],[Customer Satisfaction]]&gt;=4,"Satisfied",IF(tblTickets[[#This Row],[Customer Satisfaction]]=3,"Neutral","Dissatisfied"))</f>
        <v>Satisfied</v>
      </c>
    </row>
    <row r="479" spans="1:14" x14ac:dyDescent="0.35">
      <c r="A479" t="s">
        <v>150</v>
      </c>
      <c r="B479" s="3">
        <v>45698</v>
      </c>
      <c r="C479" s="3">
        <v>45699.091249999998</v>
      </c>
      <c r="D479" t="s">
        <v>30</v>
      </c>
      <c r="E479" t="s">
        <v>19</v>
      </c>
      <c r="F479" t="s">
        <v>45</v>
      </c>
      <c r="G479" t="s">
        <v>15</v>
      </c>
      <c r="H479">
        <v>4</v>
      </c>
      <c r="I479">
        <v>26.19</v>
      </c>
      <c r="J479">
        <v>3.18</v>
      </c>
      <c r="K479">
        <v>5</v>
      </c>
      <c r="L479" t="str">
        <f>IF(tblTickets[[#This Row],[SLA Target (hrs)]]&gt;=tblTickets[[#This Row],[Actual Resolution Time (hrs)]],"Yes","No")</f>
        <v>No</v>
      </c>
      <c r="M479">
        <f>(tblTickets[[#This Row],[Resolved Date]]-tblTickets[[#This Row],[Created Date]])*24</f>
        <v>26.189999999944121</v>
      </c>
      <c r="N479" t="str">
        <f>IF(tblTickets[[#This Row],[Customer Satisfaction]]&gt;=4,"Satisfied",IF(tblTickets[[#This Row],[Customer Satisfaction]]=3,"Neutral","Dissatisfied"))</f>
        <v>Satisfied</v>
      </c>
    </row>
    <row r="480" spans="1:14" x14ac:dyDescent="0.35">
      <c r="A480" t="s">
        <v>333</v>
      </c>
      <c r="B480" s="3">
        <v>45723</v>
      </c>
      <c r="C480" s="3">
        <v>45724.114999999998</v>
      </c>
      <c r="D480" t="s">
        <v>23</v>
      </c>
      <c r="E480" t="s">
        <v>17</v>
      </c>
      <c r="F480" t="s">
        <v>20</v>
      </c>
      <c r="G480" t="s">
        <v>15</v>
      </c>
      <c r="H480">
        <v>8</v>
      </c>
      <c r="I480">
        <v>26.76</v>
      </c>
      <c r="J480">
        <v>2.19</v>
      </c>
      <c r="K480">
        <v>5</v>
      </c>
      <c r="L480" t="str">
        <f>IF(tblTickets[[#This Row],[SLA Target (hrs)]]&gt;=tblTickets[[#This Row],[Actual Resolution Time (hrs)]],"Yes","No")</f>
        <v>No</v>
      </c>
      <c r="M480">
        <f>(tblTickets[[#This Row],[Resolved Date]]-tblTickets[[#This Row],[Created Date]])*24</f>
        <v>26.759999999951106</v>
      </c>
      <c r="N480" t="str">
        <f>IF(tblTickets[[#This Row],[Customer Satisfaction]]&gt;=4,"Satisfied",IF(tblTickets[[#This Row],[Customer Satisfaction]]=3,"Neutral","Dissatisfied"))</f>
        <v>Satisfied</v>
      </c>
    </row>
    <row r="481" spans="1:14" x14ac:dyDescent="0.35">
      <c r="A481" t="s">
        <v>85</v>
      </c>
      <c r="B481" s="3">
        <v>45694</v>
      </c>
      <c r="C481" s="3">
        <v>45695.116666666669</v>
      </c>
      <c r="D481" t="s">
        <v>23</v>
      </c>
      <c r="E481" t="s">
        <v>19</v>
      </c>
      <c r="F481" t="s">
        <v>25</v>
      </c>
      <c r="G481" t="s">
        <v>26</v>
      </c>
      <c r="H481">
        <v>4</v>
      </c>
      <c r="I481">
        <v>26.8</v>
      </c>
      <c r="J481">
        <v>3.02</v>
      </c>
      <c r="K481">
        <v>5</v>
      </c>
      <c r="L481" t="str">
        <f>IF(tblTickets[[#This Row],[SLA Target (hrs)]]&gt;=tblTickets[[#This Row],[Actual Resolution Time (hrs)]],"Yes","No")</f>
        <v>No</v>
      </c>
      <c r="M481">
        <f>(tblTickets[[#This Row],[Resolved Date]]-tblTickets[[#This Row],[Created Date]])*24</f>
        <v>26.800000000046566</v>
      </c>
      <c r="N481" t="str">
        <f>IF(tblTickets[[#This Row],[Customer Satisfaction]]&gt;=4,"Satisfied",IF(tblTickets[[#This Row],[Customer Satisfaction]]=3,"Neutral","Dissatisfied"))</f>
        <v>Satisfied</v>
      </c>
    </row>
    <row r="482" spans="1:14" x14ac:dyDescent="0.35">
      <c r="A482" t="s">
        <v>330</v>
      </c>
      <c r="B482" s="3">
        <v>45731</v>
      </c>
      <c r="C482" s="3">
        <v>45732.151250000003</v>
      </c>
      <c r="D482" t="s">
        <v>23</v>
      </c>
      <c r="E482" t="s">
        <v>13</v>
      </c>
      <c r="F482" t="s">
        <v>25</v>
      </c>
      <c r="G482" t="s">
        <v>26</v>
      </c>
      <c r="H482">
        <v>8</v>
      </c>
      <c r="I482">
        <v>27.63</v>
      </c>
      <c r="J482">
        <v>7.65</v>
      </c>
      <c r="K482">
        <v>5</v>
      </c>
      <c r="L482" t="str">
        <f>IF(tblTickets[[#This Row],[SLA Target (hrs)]]&gt;=tblTickets[[#This Row],[Actual Resolution Time (hrs)]],"Yes","No")</f>
        <v>No</v>
      </c>
      <c r="M482">
        <f>(tblTickets[[#This Row],[Resolved Date]]-tblTickets[[#This Row],[Created Date]])*24</f>
        <v>27.630000000062864</v>
      </c>
      <c r="N482" t="str">
        <f>IF(tblTickets[[#This Row],[Customer Satisfaction]]&gt;=4,"Satisfied",IF(tblTickets[[#This Row],[Customer Satisfaction]]=3,"Neutral","Dissatisfied"))</f>
        <v>Satisfied</v>
      </c>
    </row>
    <row r="483" spans="1:14" x14ac:dyDescent="0.35">
      <c r="A483" t="s">
        <v>208</v>
      </c>
      <c r="B483" s="3">
        <v>45658</v>
      </c>
      <c r="C483" s="3">
        <v>45659.169583333343</v>
      </c>
      <c r="D483" t="s">
        <v>34</v>
      </c>
      <c r="E483" t="s">
        <v>17</v>
      </c>
      <c r="F483" t="s">
        <v>20</v>
      </c>
      <c r="G483" t="s">
        <v>26</v>
      </c>
      <c r="H483">
        <v>4</v>
      </c>
      <c r="I483">
        <v>28.07</v>
      </c>
      <c r="J483">
        <v>2.5099999999999998</v>
      </c>
      <c r="K483">
        <v>5</v>
      </c>
      <c r="L483" t="str">
        <f>IF(tblTickets[[#This Row],[SLA Target (hrs)]]&gt;=tblTickets[[#This Row],[Actual Resolution Time (hrs)]],"Yes","No")</f>
        <v>No</v>
      </c>
      <c r="M483">
        <f>(tblTickets[[#This Row],[Resolved Date]]-tblTickets[[#This Row],[Created Date]])*24</f>
        <v>28.070000000239816</v>
      </c>
      <c r="N483" t="str">
        <f>IF(tblTickets[[#This Row],[Customer Satisfaction]]&gt;=4,"Satisfied",IF(tblTickets[[#This Row],[Customer Satisfaction]]=3,"Neutral","Dissatisfied"))</f>
        <v>Satisfied</v>
      </c>
    </row>
    <row r="484" spans="1:14" x14ac:dyDescent="0.35">
      <c r="A484" t="s">
        <v>433</v>
      </c>
      <c r="B484" s="3">
        <v>45658</v>
      </c>
      <c r="C484" s="3">
        <v>45659.196250000001</v>
      </c>
      <c r="D484" t="s">
        <v>12</v>
      </c>
      <c r="E484" t="s">
        <v>19</v>
      </c>
      <c r="F484" t="s">
        <v>41</v>
      </c>
      <c r="G484" t="s">
        <v>26</v>
      </c>
      <c r="H484">
        <v>4</v>
      </c>
      <c r="I484">
        <v>28.71</v>
      </c>
      <c r="J484">
        <v>2.86</v>
      </c>
      <c r="K484">
        <v>5</v>
      </c>
      <c r="L484" t="str">
        <f>IF(tblTickets[[#This Row],[SLA Target (hrs)]]&gt;=tblTickets[[#This Row],[Actual Resolution Time (hrs)]],"Yes","No")</f>
        <v>No</v>
      </c>
      <c r="M484">
        <f>(tblTickets[[#This Row],[Resolved Date]]-tblTickets[[#This Row],[Created Date]])*24</f>
        <v>28.710000000020955</v>
      </c>
      <c r="N484" t="str">
        <f>IF(tblTickets[[#This Row],[Customer Satisfaction]]&gt;=4,"Satisfied",IF(tblTickets[[#This Row],[Customer Satisfaction]]=3,"Neutral","Dissatisfied"))</f>
        <v>Satisfied</v>
      </c>
    </row>
    <row r="485" spans="1:14" x14ac:dyDescent="0.35">
      <c r="A485" t="s">
        <v>250</v>
      </c>
      <c r="B485" s="3">
        <v>45709</v>
      </c>
      <c r="C485" s="3">
        <v>45710.197083333333</v>
      </c>
      <c r="D485" t="s">
        <v>23</v>
      </c>
      <c r="E485" t="s">
        <v>19</v>
      </c>
      <c r="F485" t="s">
        <v>25</v>
      </c>
      <c r="G485" t="s">
        <v>26</v>
      </c>
      <c r="H485">
        <v>8</v>
      </c>
      <c r="I485">
        <v>28.73</v>
      </c>
      <c r="J485">
        <v>3.29</v>
      </c>
      <c r="K485">
        <v>5</v>
      </c>
      <c r="L485" t="str">
        <f>IF(tblTickets[[#This Row],[SLA Target (hrs)]]&gt;=tblTickets[[#This Row],[Actual Resolution Time (hrs)]],"Yes","No")</f>
        <v>No</v>
      </c>
      <c r="M485">
        <f>(tblTickets[[#This Row],[Resolved Date]]-tblTickets[[#This Row],[Created Date]])*24</f>
        <v>28.729999999981374</v>
      </c>
      <c r="N485" t="str">
        <f>IF(tblTickets[[#This Row],[Customer Satisfaction]]&gt;=4,"Satisfied",IF(tblTickets[[#This Row],[Customer Satisfaction]]=3,"Neutral","Dissatisfied"))</f>
        <v>Satisfied</v>
      </c>
    </row>
    <row r="486" spans="1:14" x14ac:dyDescent="0.35">
      <c r="A486" t="s">
        <v>154</v>
      </c>
      <c r="B486" s="3">
        <v>45669</v>
      </c>
      <c r="C486" s="3">
        <v>45670.229166666657</v>
      </c>
      <c r="D486" t="s">
        <v>23</v>
      </c>
      <c r="E486" t="s">
        <v>19</v>
      </c>
      <c r="F486" t="s">
        <v>25</v>
      </c>
      <c r="G486" t="s">
        <v>15</v>
      </c>
      <c r="H486">
        <v>8</v>
      </c>
      <c r="I486">
        <v>29.5</v>
      </c>
      <c r="J486">
        <v>4.22</v>
      </c>
      <c r="K486">
        <v>5</v>
      </c>
      <c r="L486" t="str">
        <f>IF(tblTickets[[#This Row],[SLA Target (hrs)]]&gt;=tblTickets[[#This Row],[Actual Resolution Time (hrs)]],"Yes","No")</f>
        <v>No</v>
      </c>
      <c r="M486">
        <f>(tblTickets[[#This Row],[Resolved Date]]-tblTickets[[#This Row],[Created Date]])*24</f>
        <v>29.499999999767169</v>
      </c>
      <c r="N486" t="str">
        <f>IF(tblTickets[[#This Row],[Customer Satisfaction]]&gt;=4,"Satisfied",IF(tblTickets[[#This Row],[Customer Satisfaction]]=3,"Neutral","Dissatisfied"))</f>
        <v>Satisfied</v>
      </c>
    </row>
    <row r="487" spans="1:14" x14ac:dyDescent="0.35">
      <c r="A487" t="s">
        <v>301</v>
      </c>
      <c r="B487" s="3">
        <v>45690</v>
      </c>
      <c r="C487" s="3">
        <v>45691.263749999998</v>
      </c>
      <c r="D487" t="s">
        <v>34</v>
      </c>
      <c r="E487" t="s">
        <v>19</v>
      </c>
      <c r="F487" t="s">
        <v>45</v>
      </c>
      <c r="G487" t="s">
        <v>21</v>
      </c>
      <c r="H487">
        <v>8</v>
      </c>
      <c r="I487">
        <v>30.33</v>
      </c>
      <c r="J487">
        <v>6.1</v>
      </c>
      <c r="K487">
        <v>5</v>
      </c>
      <c r="L487" t="str">
        <f>IF(tblTickets[[#This Row],[SLA Target (hrs)]]&gt;=tblTickets[[#This Row],[Actual Resolution Time (hrs)]],"Yes","No")</f>
        <v>No</v>
      </c>
      <c r="M487">
        <f>(tblTickets[[#This Row],[Resolved Date]]-tblTickets[[#This Row],[Created Date]])*24</f>
        <v>30.32999999995809</v>
      </c>
      <c r="N487" t="str">
        <f>IF(tblTickets[[#This Row],[Customer Satisfaction]]&gt;=4,"Satisfied",IF(tblTickets[[#This Row],[Customer Satisfaction]]=3,"Neutral","Dissatisfied"))</f>
        <v>Satisfied</v>
      </c>
    </row>
    <row r="488" spans="1:14" x14ac:dyDescent="0.35">
      <c r="A488" t="s">
        <v>316</v>
      </c>
      <c r="B488" s="3">
        <v>45733</v>
      </c>
      <c r="C488" s="3">
        <v>45734.267500000002</v>
      </c>
      <c r="D488" t="s">
        <v>23</v>
      </c>
      <c r="E488" t="s">
        <v>19</v>
      </c>
      <c r="F488" t="s">
        <v>14</v>
      </c>
      <c r="G488" t="s">
        <v>15</v>
      </c>
      <c r="H488">
        <v>24</v>
      </c>
      <c r="I488">
        <v>30.42</v>
      </c>
      <c r="J488">
        <v>3.57</v>
      </c>
      <c r="K488">
        <v>5</v>
      </c>
      <c r="L488" t="str">
        <f>IF(tblTickets[[#This Row],[SLA Target (hrs)]]&gt;=tblTickets[[#This Row],[Actual Resolution Time (hrs)]],"Yes","No")</f>
        <v>No</v>
      </c>
      <c r="M488">
        <f>(tblTickets[[#This Row],[Resolved Date]]-tblTickets[[#This Row],[Created Date]])*24</f>
        <v>30.42000000004191</v>
      </c>
      <c r="N488" t="str">
        <f>IF(tblTickets[[#This Row],[Customer Satisfaction]]&gt;=4,"Satisfied",IF(tblTickets[[#This Row],[Customer Satisfaction]]=3,"Neutral","Dissatisfied"))</f>
        <v>Satisfied</v>
      </c>
    </row>
    <row r="489" spans="1:14" x14ac:dyDescent="0.35">
      <c r="A489" t="s">
        <v>58</v>
      </c>
      <c r="B489" s="3">
        <v>45659</v>
      </c>
      <c r="C489" s="3">
        <v>45660.302083333343</v>
      </c>
      <c r="D489" t="s">
        <v>23</v>
      </c>
      <c r="E489" t="s">
        <v>13</v>
      </c>
      <c r="F489" t="s">
        <v>45</v>
      </c>
      <c r="G489" t="s">
        <v>21</v>
      </c>
      <c r="H489">
        <v>4</v>
      </c>
      <c r="I489">
        <v>31.25</v>
      </c>
      <c r="J489">
        <v>1</v>
      </c>
      <c r="K489">
        <v>5</v>
      </c>
      <c r="L489" t="str">
        <f>IF(tblTickets[[#This Row],[SLA Target (hrs)]]&gt;=tblTickets[[#This Row],[Actual Resolution Time (hrs)]],"Yes","No")</f>
        <v>No</v>
      </c>
      <c r="M489">
        <f>(tblTickets[[#This Row],[Resolved Date]]-tblTickets[[#This Row],[Created Date]])*24</f>
        <v>31.250000000232831</v>
      </c>
      <c r="N489" t="str">
        <f>IF(tblTickets[[#This Row],[Customer Satisfaction]]&gt;=4,"Satisfied",IF(tblTickets[[#This Row],[Customer Satisfaction]]=3,"Neutral","Dissatisfied"))</f>
        <v>Satisfied</v>
      </c>
    </row>
    <row r="490" spans="1:14" x14ac:dyDescent="0.35">
      <c r="A490" t="s">
        <v>100</v>
      </c>
      <c r="B490" s="3">
        <v>45731</v>
      </c>
      <c r="C490" s="3">
        <v>45732.306666666656</v>
      </c>
      <c r="D490" t="s">
        <v>34</v>
      </c>
      <c r="E490" t="s">
        <v>40</v>
      </c>
      <c r="F490" t="s">
        <v>20</v>
      </c>
      <c r="G490" t="s">
        <v>26</v>
      </c>
      <c r="H490">
        <v>24</v>
      </c>
      <c r="I490">
        <v>31.36</v>
      </c>
      <c r="J490">
        <v>2.33</v>
      </c>
      <c r="K490">
        <v>5</v>
      </c>
      <c r="L490" t="str">
        <f>IF(tblTickets[[#This Row],[SLA Target (hrs)]]&gt;=tblTickets[[#This Row],[Actual Resolution Time (hrs)]],"Yes","No")</f>
        <v>No</v>
      </c>
      <c r="M490">
        <f>(tblTickets[[#This Row],[Resolved Date]]-tblTickets[[#This Row],[Created Date]])*24</f>
        <v>31.3599999997532</v>
      </c>
      <c r="N490" t="str">
        <f>IF(tblTickets[[#This Row],[Customer Satisfaction]]&gt;=4,"Satisfied",IF(tblTickets[[#This Row],[Customer Satisfaction]]=3,"Neutral","Dissatisfied"))</f>
        <v>Satisfied</v>
      </c>
    </row>
    <row r="491" spans="1:14" x14ac:dyDescent="0.35">
      <c r="A491" t="s">
        <v>109</v>
      </c>
      <c r="B491" s="3">
        <v>45747</v>
      </c>
      <c r="C491" s="3">
        <v>45748.307083333333</v>
      </c>
      <c r="D491" t="s">
        <v>34</v>
      </c>
      <c r="E491" t="s">
        <v>19</v>
      </c>
      <c r="F491" t="s">
        <v>20</v>
      </c>
      <c r="G491" t="s">
        <v>26</v>
      </c>
      <c r="H491">
        <v>24</v>
      </c>
      <c r="I491">
        <v>31.37</v>
      </c>
      <c r="J491">
        <v>3.93</v>
      </c>
      <c r="K491">
        <v>5</v>
      </c>
      <c r="L491" t="str">
        <f>IF(tblTickets[[#This Row],[SLA Target (hrs)]]&gt;=tblTickets[[#This Row],[Actual Resolution Time (hrs)]],"Yes","No")</f>
        <v>No</v>
      </c>
      <c r="M491">
        <f>(tblTickets[[#This Row],[Resolved Date]]-tblTickets[[#This Row],[Created Date]])*24</f>
        <v>31.369999999995343</v>
      </c>
      <c r="N491" t="str">
        <f>IF(tblTickets[[#This Row],[Customer Satisfaction]]&gt;=4,"Satisfied",IF(tblTickets[[#This Row],[Customer Satisfaction]]=3,"Neutral","Dissatisfied"))</f>
        <v>Satisfied</v>
      </c>
    </row>
    <row r="492" spans="1:14" x14ac:dyDescent="0.35">
      <c r="A492" t="s">
        <v>378</v>
      </c>
      <c r="B492" s="3">
        <v>45730</v>
      </c>
      <c r="C492" s="3">
        <v>45731.334166666667</v>
      </c>
      <c r="D492" t="s">
        <v>12</v>
      </c>
      <c r="E492" t="s">
        <v>40</v>
      </c>
      <c r="F492" t="s">
        <v>25</v>
      </c>
      <c r="G492" t="s">
        <v>26</v>
      </c>
      <c r="H492">
        <v>8</v>
      </c>
      <c r="I492">
        <v>32.020000000000003</v>
      </c>
      <c r="J492">
        <v>6.26</v>
      </c>
      <c r="K492">
        <v>5</v>
      </c>
      <c r="L492" t="str">
        <f>IF(tblTickets[[#This Row],[SLA Target (hrs)]]&gt;=tblTickets[[#This Row],[Actual Resolution Time (hrs)]],"Yes","No")</f>
        <v>No</v>
      </c>
      <c r="M492">
        <f>(tblTickets[[#This Row],[Resolved Date]]-tblTickets[[#This Row],[Created Date]])*24</f>
        <v>32.020000000018626</v>
      </c>
      <c r="N492" t="str">
        <f>IF(tblTickets[[#This Row],[Customer Satisfaction]]&gt;=4,"Satisfied",IF(tblTickets[[#This Row],[Customer Satisfaction]]=3,"Neutral","Dissatisfied"))</f>
        <v>Satisfied</v>
      </c>
    </row>
    <row r="493" spans="1:14" x14ac:dyDescent="0.35">
      <c r="A493" t="s">
        <v>412</v>
      </c>
      <c r="B493" s="3">
        <v>45680</v>
      </c>
      <c r="C493" s="3">
        <v>45681.342499999999</v>
      </c>
      <c r="D493" t="s">
        <v>30</v>
      </c>
      <c r="E493" t="s">
        <v>17</v>
      </c>
      <c r="F493" t="s">
        <v>45</v>
      </c>
      <c r="G493" t="s">
        <v>15</v>
      </c>
      <c r="H493">
        <v>4</v>
      </c>
      <c r="I493">
        <v>32.22</v>
      </c>
      <c r="J493">
        <v>5.22</v>
      </c>
      <c r="K493">
        <v>5</v>
      </c>
      <c r="L493" t="str">
        <f>IF(tblTickets[[#This Row],[SLA Target (hrs)]]&gt;=tblTickets[[#This Row],[Actual Resolution Time (hrs)]],"Yes","No")</f>
        <v>No</v>
      </c>
      <c r="M493">
        <f>(tblTickets[[#This Row],[Resolved Date]]-tblTickets[[#This Row],[Created Date]])*24</f>
        <v>32.21999999997206</v>
      </c>
      <c r="N493" t="str">
        <f>IF(tblTickets[[#This Row],[Customer Satisfaction]]&gt;=4,"Satisfied",IF(tblTickets[[#This Row],[Customer Satisfaction]]=3,"Neutral","Dissatisfied"))</f>
        <v>Satisfied</v>
      </c>
    </row>
    <row r="494" spans="1:14" x14ac:dyDescent="0.35">
      <c r="A494" t="s">
        <v>135</v>
      </c>
      <c r="B494" s="3">
        <v>45680</v>
      </c>
      <c r="C494" s="3">
        <v>45681.353333333333</v>
      </c>
      <c r="D494" t="s">
        <v>34</v>
      </c>
      <c r="E494" t="s">
        <v>13</v>
      </c>
      <c r="F494" t="s">
        <v>14</v>
      </c>
      <c r="G494" t="s">
        <v>15</v>
      </c>
      <c r="H494">
        <v>24</v>
      </c>
      <c r="I494">
        <v>32.479999999999997</v>
      </c>
      <c r="J494">
        <v>6.18</v>
      </c>
      <c r="K494">
        <v>5</v>
      </c>
      <c r="L494" t="str">
        <f>IF(tblTickets[[#This Row],[SLA Target (hrs)]]&gt;=tblTickets[[#This Row],[Actual Resolution Time (hrs)]],"Yes","No")</f>
        <v>No</v>
      </c>
      <c r="M494">
        <f>(tblTickets[[#This Row],[Resolved Date]]-tblTickets[[#This Row],[Created Date]])*24</f>
        <v>32.479999999981374</v>
      </c>
      <c r="N494" t="str">
        <f>IF(tblTickets[[#This Row],[Customer Satisfaction]]&gt;=4,"Satisfied",IF(tblTickets[[#This Row],[Customer Satisfaction]]=3,"Neutral","Dissatisfied"))</f>
        <v>Satisfied</v>
      </c>
    </row>
    <row r="495" spans="1:14" x14ac:dyDescent="0.35">
      <c r="A495" t="s">
        <v>293</v>
      </c>
      <c r="B495" s="3">
        <v>45686</v>
      </c>
      <c r="C495" s="3">
        <v>45687.385416666657</v>
      </c>
      <c r="D495" t="s">
        <v>12</v>
      </c>
      <c r="E495" t="s">
        <v>40</v>
      </c>
      <c r="F495" t="s">
        <v>41</v>
      </c>
      <c r="G495" t="s">
        <v>15</v>
      </c>
      <c r="H495">
        <v>24</v>
      </c>
      <c r="I495">
        <v>33.25</v>
      </c>
      <c r="J495">
        <v>2.58</v>
      </c>
      <c r="K495">
        <v>5</v>
      </c>
      <c r="L495" t="str">
        <f>IF(tblTickets[[#This Row],[SLA Target (hrs)]]&gt;=tblTickets[[#This Row],[Actual Resolution Time (hrs)]],"Yes","No")</f>
        <v>No</v>
      </c>
      <c r="M495">
        <f>(tblTickets[[#This Row],[Resolved Date]]-tblTickets[[#This Row],[Created Date]])*24</f>
        <v>33.249999999767169</v>
      </c>
      <c r="N495" t="str">
        <f>IF(tblTickets[[#This Row],[Customer Satisfaction]]&gt;=4,"Satisfied",IF(tblTickets[[#This Row],[Customer Satisfaction]]=3,"Neutral","Dissatisfied"))</f>
        <v>Satisfied</v>
      </c>
    </row>
    <row r="496" spans="1:14" x14ac:dyDescent="0.35">
      <c r="A496" t="s">
        <v>266</v>
      </c>
      <c r="B496" s="3">
        <v>45743</v>
      </c>
      <c r="C496" s="3">
        <v>45744.386250000003</v>
      </c>
      <c r="D496" t="s">
        <v>23</v>
      </c>
      <c r="E496" t="s">
        <v>40</v>
      </c>
      <c r="F496" t="s">
        <v>45</v>
      </c>
      <c r="G496" t="s">
        <v>15</v>
      </c>
      <c r="H496">
        <v>4</v>
      </c>
      <c r="I496">
        <v>33.270000000000003</v>
      </c>
      <c r="J496">
        <v>1.56</v>
      </c>
      <c r="K496">
        <v>5</v>
      </c>
      <c r="L496" t="str">
        <f>IF(tblTickets[[#This Row],[SLA Target (hrs)]]&gt;=tblTickets[[#This Row],[Actual Resolution Time (hrs)]],"Yes","No")</f>
        <v>No</v>
      </c>
      <c r="M496">
        <f>(tblTickets[[#This Row],[Resolved Date]]-tblTickets[[#This Row],[Created Date]])*24</f>
        <v>33.270000000076834</v>
      </c>
      <c r="N496" t="str">
        <f>IF(tblTickets[[#This Row],[Customer Satisfaction]]&gt;=4,"Satisfied",IF(tblTickets[[#This Row],[Customer Satisfaction]]=3,"Neutral","Dissatisfied"))</f>
        <v>Satisfied</v>
      </c>
    </row>
    <row r="497" spans="1:14" x14ac:dyDescent="0.35">
      <c r="A497" t="s">
        <v>470</v>
      </c>
      <c r="B497" s="3">
        <v>45736</v>
      </c>
      <c r="C497" s="3">
        <v>45737.40625</v>
      </c>
      <c r="D497" t="s">
        <v>30</v>
      </c>
      <c r="E497" t="s">
        <v>13</v>
      </c>
      <c r="F497" t="s">
        <v>45</v>
      </c>
      <c r="G497" t="s">
        <v>15</v>
      </c>
      <c r="H497">
        <v>8</v>
      </c>
      <c r="I497">
        <v>33.75</v>
      </c>
      <c r="J497">
        <v>2.82</v>
      </c>
      <c r="K497">
        <v>5</v>
      </c>
      <c r="L497" t="str">
        <f>IF(tblTickets[[#This Row],[SLA Target (hrs)]]&gt;=tblTickets[[#This Row],[Actual Resolution Time (hrs)]],"Yes","No")</f>
        <v>No</v>
      </c>
      <c r="M497">
        <f>(tblTickets[[#This Row],[Resolved Date]]-tblTickets[[#This Row],[Created Date]])*24</f>
        <v>33.75</v>
      </c>
      <c r="N497" t="str">
        <f>IF(tblTickets[[#This Row],[Customer Satisfaction]]&gt;=4,"Satisfied",IF(tblTickets[[#This Row],[Customer Satisfaction]]=3,"Neutral","Dissatisfied"))</f>
        <v>Satisfied</v>
      </c>
    </row>
    <row r="498" spans="1:14" x14ac:dyDescent="0.35">
      <c r="A498" t="s">
        <v>146</v>
      </c>
      <c r="B498" s="3">
        <v>45688</v>
      </c>
      <c r="C498" s="3">
        <v>45689.429583333331</v>
      </c>
      <c r="D498" t="s">
        <v>23</v>
      </c>
      <c r="E498" t="s">
        <v>19</v>
      </c>
      <c r="F498" t="s">
        <v>41</v>
      </c>
      <c r="G498" t="s">
        <v>15</v>
      </c>
      <c r="H498">
        <v>4</v>
      </c>
      <c r="I498">
        <v>34.31</v>
      </c>
      <c r="J498">
        <v>6.51</v>
      </c>
      <c r="K498">
        <v>5</v>
      </c>
      <c r="L498" t="str">
        <f>IF(tblTickets[[#This Row],[SLA Target (hrs)]]&gt;=tblTickets[[#This Row],[Actual Resolution Time (hrs)]],"Yes","No")</f>
        <v>No</v>
      </c>
      <c r="M498">
        <f>(tblTickets[[#This Row],[Resolved Date]]-tblTickets[[#This Row],[Created Date]])*24</f>
        <v>34.309999999939464</v>
      </c>
      <c r="N498" t="str">
        <f>IF(tblTickets[[#This Row],[Customer Satisfaction]]&gt;=4,"Satisfied",IF(tblTickets[[#This Row],[Customer Satisfaction]]=3,"Neutral","Dissatisfied"))</f>
        <v>Satisfied</v>
      </c>
    </row>
    <row r="499" spans="1:14" x14ac:dyDescent="0.35">
      <c r="A499" t="s">
        <v>141</v>
      </c>
      <c r="B499" s="3">
        <v>45714</v>
      </c>
      <c r="C499" s="3">
        <v>45715.434166666673</v>
      </c>
      <c r="D499" t="s">
        <v>23</v>
      </c>
      <c r="E499" t="s">
        <v>17</v>
      </c>
      <c r="F499" t="s">
        <v>25</v>
      </c>
      <c r="G499" t="s">
        <v>15</v>
      </c>
      <c r="H499">
        <v>24</v>
      </c>
      <c r="I499">
        <v>34.42</v>
      </c>
      <c r="J499">
        <v>6.67</v>
      </c>
      <c r="K499">
        <v>5</v>
      </c>
      <c r="L499" t="str">
        <f>IF(tblTickets[[#This Row],[SLA Target (hrs)]]&gt;=tblTickets[[#This Row],[Actual Resolution Time (hrs)]],"Yes","No")</f>
        <v>No</v>
      </c>
      <c r="M499">
        <f>(tblTickets[[#This Row],[Resolved Date]]-tblTickets[[#This Row],[Created Date]])*24</f>
        <v>34.420000000158325</v>
      </c>
      <c r="N499" t="str">
        <f>IF(tblTickets[[#This Row],[Customer Satisfaction]]&gt;=4,"Satisfied",IF(tblTickets[[#This Row],[Customer Satisfaction]]=3,"Neutral","Dissatisfied"))</f>
        <v>Satisfied</v>
      </c>
    </row>
    <row r="500" spans="1:14" x14ac:dyDescent="0.35">
      <c r="A500" t="s">
        <v>461</v>
      </c>
      <c r="B500" s="3">
        <v>45702</v>
      </c>
      <c r="C500" s="3">
        <v>45703.434583333343</v>
      </c>
      <c r="D500" t="s">
        <v>23</v>
      </c>
      <c r="E500" t="s">
        <v>17</v>
      </c>
      <c r="F500" t="s">
        <v>25</v>
      </c>
      <c r="G500" t="s">
        <v>21</v>
      </c>
      <c r="H500">
        <v>24</v>
      </c>
      <c r="I500">
        <v>34.43</v>
      </c>
      <c r="J500">
        <v>6.77</v>
      </c>
      <c r="K500">
        <v>5</v>
      </c>
      <c r="L500" t="str">
        <f>IF(tblTickets[[#This Row],[SLA Target (hrs)]]&gt;=tblTickets[[#This Row],[Actual Resolution Time (hrs)]],"Yes","No")</f>
        <v>No</v>
      </c>
      <c r="M500">
        <f>(tblTickets[[#This Row],[Resolved Date]]-tblTickets[[#This Row],[Created Date]])*24</f>
        <v>34.430000000225846</v>
      </c>
      <c r="N500" t="str">
        <f>IF(tblTickets[[#This Row],[Customer Satisfaction]]&gt;=4,"Satisfied",IF(tblTickets[[#This Row],[Customer Satisfaction]]=3,"Neutral","Dissatisfied"))</f>
        <v>Satisfied</v>
      </c>
    </row>
    <row r="501" spans="1:14" x14ac:dyDescent="0.35">
      <c r="A501" t="s">
        <v>304</v>
      </c>
      <c r="B501" s="3">
        <v>45663</v>
      </c>
      <c r="C501" s="3">
        <v>45664.453750000001</v>
      </c>
      <c r="D501" t="s">
        <v>30</v>
      </c>
      <c r="E501" t="s">
        <v>13</v>
      </c>
      <c r="F501" t="s">
        <v>14</v>
      </c>
      <c r="G501" t="s">
        <v>15</v>
      </c>
      <c r="H501">
        <v>4</v>
      </c>
      <c r="I501">
        <v>34.89</v>
      </c>
      <c r="J501">
        <v>5.72</v>
      </c>
      <c r="K501">
        <v>5</v>
      </c>
      <c r="L501" t="str">
        <f>IF(tblTickets[[#This Row],[SLA Target (hrs)]]&gt;=tblTickets[[#This Row],[Actual Resolution Time (hrs)]],"Yes","No")</f>
        <v>No</v>
      </c>
      <c r="M501">
        <f>(tblTickets[[#This Row],[Resolved Date]]-tblTickets[[#This Row],[Created Date]])*24</f>
        <v>34.89000000001397</v>
      </c>
      <c r="N501" t="str">
        <f>IF(tblTickets[[#This Row],[Customer Satisfaction]]&gt;=4,"Satisfied",IF(tblTickets[[#This Row],[Customer Satisfaction]]=3,"Neutral","Dissatisfied"))</f>
        <v>Satisfied</v>
      </c>
    </row>
  </sheetData>
  <conditionalFormatting sqref="K1:K1048576">
    <cfRule type="containsText" dxfId="8" priority="1" operator="containsText" text="5">
      <formula>NOT(ISERROR(SEARCH("5",K1)))</formula>
    </cfRule>
    <cfRule type="containsText" dxfId="7" priority="2" operator="containsText" text="4">
      <formula>NOT(ISERROR(SEARCH("4",K1)))</formula>
    </cfRule>
    <cfRule type="containsText" dxfId="6" priority="3" operator="containsText" text="3">
      <formula>NOT(ISERROR(SEARCH("3",K1)))</formula>
    </cfRule>
    <cfRule type="containsText" dxfId="5" priority="4" operator="containsText" text="2">
      <formula>NOT(ISERROR(SEARCH("2",K1)))</formula>
    </cfRule>
    <cfRule type="containsText" dxfId="4" priority="5" operator="containsText" text="1">
      <formula>NOT(ISERROR(SEARCH("1",K1)))</formula>
    </cfRule>
  </conditionalFormatting>
  <conditionalFormatting sqref="L1:L1048576">
    <cfRule type="containsText" dxfId="3" priority="6" operator="containsText" text="Yes">
      <formula>NOT(ISERROR(SEARCH("Yes",L1)))</formula>
    </cfRule>
    <cfRule type="containsText" dxfId="2" priority="7" operator="containsText" text="No">
      <formula>NOT(ISERROR(SEARCH("No",L1)))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G5" sqref="G5"/>
    </sheetView>
  </sheetViews>
  <sheetFormatPr defaultRowHeight="14.5" x14ac:dyDescent="0.35"/>
  <cols>
    <col min="1" max="1" width="13.36328125" bestFit="1" customWidth="1"/>
    <col min="2" max="2" width="16.90625" bestFit="1" customWidth="1"/>
    <col min="3" max="3" width="7.7265625" bestFit="1" customWidth="1"/>
    <col min="4" max="4" width="11.1796875" bestFit="1" customWidth="1"/>
    <col min="6" max="6" width="18.81640625" customWidth="1"/>
    <col min="7" max="7" width="26.90625" bestFit="1" customWidth="1"/>
    <col min="8" max="8" width="14.36328125" bestFit="1" customWidth="1"/>
  </cols>
  <sheetData>
    <row r="1" spans="1:8" x14ac:dyDescent="0.35">
      <c r="A1" s="1" t="s">
        <v>527</v>
      </c>
      <c r="B1" s="1" t="s">
        <v>533</v>
      </c>
      <c r="C1" s="1" t="s">
        <v>534</v>
      </c>
      <c r="D1" s="1" t="s">
        <v>593</v>
      </c>
      <c r="E1" s="1" t="s">
        <v>594</v>
      </c>
      <c r="F1" s="1" t="s">
        <v>598</v>
      </c>
      <c r="G1" s="1" t="s">
        <v>8</v>
      </c>
      <c r="H1" s="1" t="s">
        <v>599</v>
      </c>
    </row>
    <row r="2" spans="1:8" x14ac:dyDescent="0.35">
      <c r="A2" t="s">
        <v>25</v>
      </c>
      <c r="B2" t="s">
        <v>535</v>
      </c>
      <c r="C2" t="s">
        <v>536</v>
      </c>
      <c r="D2" t="s">
        <v>586</v>
      </c>
      <c r="E2" t="s">
        <v>591</v>
      </c>
      <c r="F2">
        <f>SUMIFS(Agent_TimeSheets!D:D, Agent_TimeSheets!A:A, tblAgents[[#This Row],[Agent Name]])</f>
        <v>525</v>
      </c>
      <c r="G2">
        <f>SUMIFS(Support_Tickets!I:I, Support_Tickets!F:F, tblAgents[[#This Row],[Agent Name]])</f>
        <v>2780.34</v>
      </c>
      <c r="H2">
        <v>2</v>
      </c>
    </row>
    <row r="3" spans="1:8" x14ac:dyDescent="0.35">
      <c r="A3" t="s">
        <v>45</v>
      </c>
      <c r="B3" t="s">
        <v>537</v>
      </c>
      <c r="C3" t="s">
        <v>538</v>
      </c>
      <c r="D3" t="s">
        <v>587</v>
      </c>
      <c r="E3" t="s">
        <v>592</v>
      </c>
      <c r="F3">
        <f>SUMIFS(Agent_TimeSheets!D:D, Agent_TimeSheets!A:A, tblAgents[[#This Row],[Agent Name]])</f>
        <v>631</v>
      </c>
      <c r="G3">
        <f>SUMIFS(Support_Tickets!I:I, Support_Tickets!F:F, tblAgents[[#This Row],[Agent Name]])</f>
        <v>2765.5000000000009</v>
      </c>
      <c r="H3">
        <v>4</v>
      </c>
    </row>
    <row r="4" spans="1:8" x14ac:dyDescent="0.35">
      <c r="A4" t="s">
        <v>41</v>
      </c>
      <c r="B4" t="s">
        <v>537</v>
      </c>
      <c r="C4" t="s">
        <v>538</v>
      </c>
      <c r="D4" t="s">
        <v>588</v>
      </c>
      <c r="E4" t="s">
        <v>592</v>
      </c>
      <c r="F4">
        <f>SUMIFS(Agent_TimeSheets!D:D, Agent_TimeSheets!A:A, tblAgents[[#This Row],[Agent Name]])</f>
        <v>742</v>
      </c>
      <c r="G4">
        <f>SUMIFS(Support_Tickets!I:I, Support_Tickets!F:F, tblAgents[[#This Row],[Agent Name]])</f>
        <v>2450.87</v>
      </c>
      <c r="H4">
        <v>10</v>
      </c>
    </row>
    <row r="5" spans="1:8" x14ac:dyDescent="0.35">
      <c r="A5" t="s">
        <v>14</v>
      </c>
      <c r="B5" t="s">
        <v>539</v>
      </c>
      <c r="C5" t="s">
        <v>536</v>
      </c>
      <c r="D5" t="s">
        <v>589</v>
      </c>
      <c r="E5" t="s">
        <v>591</v>
      </c>
      <c r="F5">
        <f>SUMIFS(Agent_TimeSheets!D:D, Agent_TimeSheets!A:A, tblAgents[[#This Row],[Agent Name]])</f>
        <v>801</v>
      </c>
      <c r="G5">
        <f>SUMIFS(Support_Tickets!I:I, Support_Tickets!F:F, tblAgents[[#This Row],[Agent Name]])</f>
        <v>2123.0700000000002</v>
      </c>
      <c r="H5">
        <v>3</v>
      </c>
    </row>
    <row r="6" spans="1:8" x14ac:dyDescent="0.35">
      <c r="A6" t="s">
        <v>20</v>
      </c>
      <c r="B6" t="s">
        <v>537</v>
      </c>
      <c r="C6" t="s">
        <v>536</v>
      </c>
      <c r="D6" t="s">
        <v>590</v>
      </c>
      <c r="E6" t="s">
        <v>592</v>
      </c>
      <c r="F6">
        <f>SUMIFS(Agent_TimeSheets!D:D, Agent_TimeSheets!A:A, tblAgents[[#This Row],[Agent Name]])</f>
        <v>444</v>
      </c>
      <c r="G6">
        <f>SUMIFS(Support_Tickets!I:I, Support_Tickets!F:F, tblAgents[[#This Row],[Agent Name]])</f>
        <v>2032.329999999999</v>
      </c>
      <c r="H6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KPI_Summary</vt:lpstr>
      <vt:lpstr>Pivot_Tables</vt:lpstr>
      <vt:lpstr>Charts</vt:lpstr>
      <vt:lpstr>--&gt; Data</vt:lpstr>
      <vt:lpstr>Agent_TimeSheets</vt:lpstr>
      <vt:lpstr>Support_Tickets</vt:lpstr>
      <vt:lpstr>Agent_Info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Nabeel Saleem</cp:lastModifiedBy>
  <dcterms:created xsi:type="dcterms:W3CDTF">2026-04-16T01:48:24Z</dcterms:created>
  <dcterms:modified xsi:type="dcterms:W3CDTF">2026-04-20T13:53:29Z</dcterms:modified>
</cp:coreProperties>
</file>